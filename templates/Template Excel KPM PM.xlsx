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 A sipgn\DATA PM FIX WEB 10 September 2026\"/>
    </mc:Choice>
  </mc:AlternateContent>
  <xr:revisionPtr revIDLastSave="0" documentId="8_{C9E7E0B4-0979-46B2-81CA-0F82E28436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kap" sheetId="1" r:id="rId1"/>
    <sheet name="Satuan Pendidikan" sheetId="2" r:id="rId2"/>
    <sheet name="Posyand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3" l="1"/>
  <c r="H16" i="3"/>
  <c r="D16" i="3"/>
  <c r="E16" i="3"/>
  <c r="I4" i="3"/>
  <c r="G38" i="1" s="1"/>
  <c r="I5" i="3"/>
  <c r="G39" i="1" s="1"/>
  <c r="I6" i="3"/>
  <c r="G40" i="1" s="1"/>
  <c r="I7" i="3"/>
  <c r="G41" i="1" s="1"/>
  <c r="I8" i="3"/>
  <c r="G42" i="1" s="1"/>
  <c r="I9" i="3"/>
  <c r="G43" i="1" s="1"/>
  <c r="I10" i="3"/>
  <c r="G44" i="1" s="1"/>
  <c r="I11" i="3"/>
  <c r="G45" i="1" s="1"/>
  <c r="I12" i="3"/>
  <c r="G46" i="1" s="1"/>
  <c r="I13" i="3"/>
  <c r="G47" i="1" s="1"/>
  <c r="I14" i="3"/>
  <c r="G48" i="1" s="1"/>
  <c r="I15" i="3"/>
  <c r="G49" i="1" s="1"/>
  <c r="I3" i="3"/>
  <c r="F4" i="3"/>
  <c r="F5" i="3"/>
  <c r="E39" i="1" s="1"/>
  <c r="F6" i="3"/>
  <c r="E40" i="1" s="1"/>
  <c r="F7" i="3"/>
  <c r="E41" i="1" s="1"/>
  <c r="F8" i="3"/>
  <c r="E42" i="1" s="1"/>
  <c r="F9" i="3"/>
  <c r="F10" i="3"/>
  <c r="E44" i="1" s="1"/>
  <c r="F11" i="3"/>
  <c r="E45" i="1" s="1"/>
  <c r="F12" i="3"/>
  <c r="F13" i="3"/>
  <c r="E47" i="1" s="1"/>
  <c r="F14" i="3"/>
  <c r="E48" i="1" s="1"/>
  <c r="F15" i="3"/>
  <c r="E49" i="1" s="1"/>
  <c r="F3" i="3"/>
  <c r="E37" i="1" s="1"/>
  <c r="O31" i="2"/>
  <c r="N31" i="2"/>
  <c r="L31" i="2"/>
  <c r="K31" i="2"/>
  <c r="H31" i="2"/>
  <c r="G31" i="2"/>
  <c r="E31" i="2"/>
  <c r="D31" i="2"/>
  <c r="P30" i="2"/>
  <c r="M30" i="2"/>
  <c r="I30" i="2"/>
  <c r="J30" i="2" s="1"/>
  <c r="I32" i="1" s="1"/>
  <c r="P29" i="2"/>
  <c r="M29" i="2"/>
  <c r="I29" i="2"/>
  <c r="H31" i="1" s="1"/>
  <c r="P28" i="2"/>
  <c r="M28" i="2"/>
  <c r="I28" i="2"/>
  <c r="H30" i="1" s="1"/>
  <c r="P27" i="2"/>
  <c r="M27" i="2"/>
  <c r="I27" i="2"/>
  <c r="H29" i="1" s="1"/>
  <c r="P26" i="2"/>
  <c r="M26" i="2"/>
  <c r="I26" i="2"/>
  <c r="H28" i="1" s="1"/>
  <c r="F26" i="2"/>
  <c r="E28" i="1" s="1"/>
  <c r="P25" i="2"/>
  <c r="M25" i="2"/>
  <c r="I25" i="2"/>
  <c r="H27" i="1" s="1"/>
  <c r="F25" i="2"/>
  <c r="E27" i="1" s="1"/>
  <c r="P24" i="2"/>
  <c r="M24" i="2"/>
  <c r="I24" i="2"/>
  <c r="H26" i="1" s="1"/>
  <c r="F24" i="2"/>
  <c r="P23" i="2"/>
  <c r="M23" i="2"/>
  <c r="I23" i="2"/>
  <c r="H25" i="1" s="1"/>
  <c r="F23" i="2"/>
  <c r="E25" i="1" s="1"/>
  <c r="P22" i="2"/>
  <c r="M22" i="2"/>
  <c r="I22" i="2"/>
  <c r="H24" i="1" s="1"/>
  <c r="F22" i="2"/>
  <c r="E24" i="1" s="1"/>
  <c r="P21" i="2"/>
  <c r="M21" i="2"/>
  <c r="I21" i="2"/>
  <c r="H23" i="1" s="1"/>
  <c r="F21" i="2"/>
  <c r="P20" i="2"/>
  <c r="M20" i="2"/>
  <c r="I20" i="2"/>
  <c r="H22" i="1" s="1"/>
  <c r="F20" i="2"/>
  <c r="P19" i="2"/>
  <c r="M19" i="2"/>
  <c r="I19" i="2"/>
  <c r="H21" i="1" s="1"/>
  <c r="F19" i="2"/>
  <c r="E21" i="1" s="1"/>
  <c r="P18" i="2"/>
  <c r="M18" i="2"/>
  <c r="I18" i="2"/>
  <c r="F18" i="2"/>
  <c r="E20" i="1" s="1"/>
  <c r="P17" i="2"/>
  <c r="M17" i="2"/>
  <c r="I17" i="2"/>
  <c r="H19" i="1" s="1"/>
  <c r="F17" i="2"/>
  <c r="E19" i="1" s="1"/>
  <c r="P16" i="2"/>
  <c r="M16" i="2"/>
  <c r="I16" i="2"/>
  <c r="H18" i="1" s="1"/>
  <c r="F16" i="2"/>
  <c r="E18" i="1" s="1"/>
  <c r="P15" i="2"/>
  <c r="M15" i="2"/>
  <c r="F15" i="2"/>
  <c r="J15" i="2" s="1"/>
  <c r="I17" i="1" s="1"/>
  <c r="P14" i="2"/>
  <c r="M14" i="2"/>
  <c r="F14" i="2"/>
  <c r="E16" i="1" s="1"/>
  <c r="P13" i="2"/>
  <c r="M13" i="2"/>
  <c r="F13" i="2"/>
  <c r="J13" i="2" s="1"/>
  <c r="I15" i="1" s="1"/>
  <c r="P12" i="2"/>
  <c r="M12" i="2"/>
  <c r="F12" i="2"/>
  <c r="E14" i="1" s="1"/>
  <c r="P11" i="2"/>
  <c r="M11" i="2"/>
  <c r="F11" i="2"/>
  <c r="J11" i="2" s="1"/>
  <c r="I13" i="1" s="1"/>
  <c r="P10" i="2"/>
  <c r="M10" i="2"/>
  <c r="F10" i="2"/>
  <c r="J10" i="2" s="1"/>
  <c r="P9" i="2"/>
  <c r="M9" i="2"/>
  <c r="F9" i="2"/>
  <c r="J9" i="2" s="1"/>
  <c r="P8" i="2"/>
  <c r="M8" i="2"/>
  <c r="F8" i="2"/>
  <c r="J8" i="2" s="1"/>
  <c r="I10" i="1" s="1"/>
  <c r="P7" i="2"/>
  <c r="M7" i="2"/>
  <c r="F7" i="2"/>
  <c r="J7" i="2" s="1"/>
  <c r="P6" i="2"/>
  <c r="M6" i="2"/>
  <c r="F6" i="2"/>
  <c r="E8" i="1" s="1"/>
  <c r="P5" i="2"/>
  <c r="M5" i="2"/>
  <c r="F5" i="2"/>
  <c r="E7" i="1" s="1"/>
  <c r="P4" i="2"/>
  <c r="M4" i="2"/>
  <c r="F4" i="2"/>
  <c r="E6" i="1" s="1"/>
  <c r="P3" i="2"/>
  <c r="M3" i="2"/>
  <c r="F3" i="2"/>
  <c r="F49" i="1"/>
  <c r="D49" i="1"/>
  <c r="C49" i="1"/>
  <c r="B49" i="1"/>
  <c r="A49" i="1"/>
  <c r="F48" i="1"/>
  <c r="D48" i="1"/>
  <c r="C48" i="1"/>
  <c r="B48" i="1"/>
  <c r="A48" i="1"/>
  <c r="F47" i="1"/>
  <c r="D47" i="1"/>
  <c r="C47" i="1"/>
  <c r="B47" i="1"/>
  <c r="A47" i="1"/>
  <c r="F46" i="1"/>
  <c r="D46" i="1"/>
  <c r="C46" i="1"/>
  <c r="B46" i="1"/>
  <c r="A46" i="1"/>
  <c r="F45" i="1"/>
  <c r="D45" i="1"/>
  <c r="C45" i="1"/>
  <c r="B45" i="1"/>
  <c r="A45" i="1"/>
  <c r="F44" i="1"/>
  <c r="D44" i="1"/>
  <c r="C44" i="1"/>
  <c r="B44" i="1"/>
  <c r="A44" i="1"/>
  <c r="F43" i="1"/>
  <c r="D43" i="1"/>
  <c r="C43" i="1"/>
  <c r="B43" i="1"/>
  <c r="A43" i="1"/>
  <c r="F42" i="1"/>
  <c r="D42" i="1"/>
  <c r="C42" i="1"/>
  <c r="B42" i="1"/>
  <c r="A42" i="1"/>
  <c r="F41" i="1"/>
  <c r="D41" i="1"/>
  <c r="C41" i="1"/>
  <c r="B41" i="1"/>
  <c r="A41" i="1"/>
  <c r="F40" i="1"/>
  <c r="D40" i="1"/>
  <c r="C40" i="1"/>
  <c r="B40" i="1"/>
  <c r="A40" i="1"/>
  <c r="F39" i="1"/>
  <c r="D39" i="1"/>
  <c r="C39" i="1"/>
  <c r="B39" i="1"/>
  <c r="A39" i="1"/>
  <c r="F38" i="1"/>
  <c r="D38" i="1"/>
  <c r="C38" i="1"/>
  <c r="B38" i="1"/>
  <c r="A38" i="1"/>
  <c r="G37" i="1"/>
  <c r="F37" i="1"/>
  <c r="D37" i="1"/>
  <c r="C37" i="1"/>
  <c r="B37" i="1"/>
  <c r="A37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D28" i="1"/>
  <c r="C28" i="1"/>
  <c r="B28" i="1"/>
  <c r="A28" i="1"/>
  <c r="G27" i="1"/>
  <c r="F27" i="1"/>
  <c r="D27" i="1"/>
  <c r="C27" i="1"/>
  <c r="B27" i="1"/>
  <c r="A27" i="1"/>
  <c r="G26" i="1"/>
  <c r="F26" i="1"/>
  <c r="D26" i="1"/>
  <c r="C26" i="1"/>
  <c r="B26" i="1"/>
  <c r="A26" i="1"/>
  <c r="G25" i="1"/>
  <c r="F25" i="1"/>
  <c r="D25" i="1"/>
  <c r="C25" i="1"/>
  <c r="B25" i="1"/>
  <c r="A25" i="1"/>
  <c r="G24" i="1"/>
  <c r="F24" i="1"/>
  <c r="D24" i="1"/>
  <c r="C24" i="1"/>
  <c r="B24" i="1"/>
  <c r="A24" i="1"/>
  <c r="G23" i="1"/>
  <c r="F23" i="1"/>
  <c r="D23" i="1"/>
  <c r="C23" i="1"/>
  <c r="B23" i="1"/>
  <c r="A23" i="1"/>
  <c r="G22" i="1"/>
  <c r="F22" i="1"/>
  <c r="D22" i="1"/>
  <c r="C22" i="1"/>
  <c r="B22" i="1"/>
  <c r="A22" i="1"/>
  <c r="G21" i="1"/>
  <c r="F21" i="1"/>
  <c r="D21" i="1"/>
  <c r="C21" i="1"/>
  <c r="B21" i="1"/>
  <c r="A21" i="1"/>
  <c r="G20" i="1"/>
  <c r="F20" i="1"/>
  <c r="D20" i="1"/>
  <c r="C20" i="1"/>
  <c r="B20" i="1"/>
  <c r="A20" i="1"/>
  <c r="G19" i="1"/>
  <c r="F19" i="1"/>
  <c r="D19" i="1"/>
  <c r="C19" i="1"/>
  <c r="B19" i="1"/>
  <c r="A19" i="1"/>
  <c r="G18" i="1"/>
  <c r="F18" i="1"/>
  <c r="D18" i="1"/>
  <c r="C18" i="1"/>
  <c r="B18" i="1"/>
  <c r="A18" i="1"/>
  <c r="H17" i="1"/>
  <c r="G17" i="1"/>
  <c r="F17" i="1"/>
  <c r="D17" i="1"/>
  <c r="C17" i="1"/>
  <c r="B17" i="1"/>
  <c r="A17" i="1"/>
  <c r="H16" i="1"/>
  <c r="G16" i="1"/>
  <c r="F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D14" i="1"/>
  <c r="C14" i="1"/>
  <c r="B14" i="1"/>
  <c r="A14" i="1"/>
  <c r="H13" i="1"/>
  <c r="G13" i="1"/>
  <c r="F13" i="1"/>
  <c r="D13" i="1"/>
  <c r="C13" i="1"/>
  <c r="B13" i="1"/>
  <c r="A13" i="1"/>
  <c r="H12" i="1"/>
  <c r="G12" i="1"/>
  <c r="F12" i="1"/>
  <c r="D12" i="1"/>
  <c r="C12" i="1"/>
  <c r="B12" i="1"/>
  <c r="A12" i="1"/>
  <c r="H11" i="1"/>
  <c r="G11" i="1"/>
  <c r="F11" i="1"/>
  <c r="D11" i="1"/>
  <c r="C11" i="1"/>
  <c r="B11" i="1"/>
  <c r="A11" i="1"/>
  <c r="H10" i="1"/>
  <c r="G10" i="1"/>
  <c r="F10" i="1"/>
  <c r="D10" i="1"/>
  <c r="C10" i="1"/>
  <c r="B10" i="1"/>
  <c r="A10" i="1"/>
  <c r="H9" i="1"/>
  <c r="G9" i="1"/>
  <c r="F9" i="1"/>
  <c r="D9" i="1"/>
  <c r="C9" i="1"/>
  <c r="B9" i="1"/>
  <c r="A9" i="1"/>
  <c r="H8" i="1"/>
  <c r="G8" i="1"/>
  <c r="F8" i="1"/>
  <c r="D8" i="1"/>
  <c r="C8" i="1"/>
  <c r="B8" i="1"/>
  <c r="A8" i="1"/>
  <c r="H7" i="1"/>
  <c r="G7" i="1"/>
  <c r="F7" i="1"/>
  <c r="D7" i="1"/>
  <c r="C7" i="1"/>
  <c r="B7" i="1"/>
  <c r="A7" i="1"/>
  <c r="H6" i="1"/>
  <c r="G6" i="1"/>
  <c r="F6" i="1"/>
  <c r="D6" i="1"/>
  <c r="C6" i="1"/>
  <c r="B6" i="1"/>
  <c r="A6" i="1"/>
  <c r="H5" i="1"/>
  <c r="G5" i="1"/>
  <c r="F5" i="1"/>
  <c r="D5" i="1"/>
  <c r="C5" i="1"/>
  <c r="B5" i="1"/>
  <c r="A5" i="1"/>
  <c r="I16" i="3" l="1"/>
  <c r="J12" i="3"/>
  <c r="H46" i="1" s="1"/>
  <c r="J4" i="3"/>
  <c r="H38" i="1" s="1"/>
  <c r="E46" i="1"/>
  <c r="J9" i="3"/>
  <c r="H43" i="1" s="1"/>
  <c r="J15" i="3"/>
  <c r="H49" i="1" s="1"/>
  <c r="J7" i="3"/>
  <c r="H41" i="1" s="1"/>
  <c r="E38" i="1"/>
  <c r="E50" i="1" s="1"/>
  <c r="J11" i="3"/>
  <c r="H45" i="1" s="1"/>
  <c r="J13" i="3"/>
  <c r="H47" i="1" s="1"/>
  <c r="F16" i="3"/>
  <c r="E43" i="1"/>
  <c r="J10" i="3"/>
  <c r="H44" i="1" s="1"/>
  <c r="J8" i="3"/>
  <c r="H42" i="1" s="1"/>
  <c r="J14" i="3"/>
  <c r="H48" i="1" s="1"/>
  <c r="J6" i="3"/>
  <c r="H40" i="1" s="1"/>
  <c r="J5" i="3"/>
  <c r="H39" i="1" s="1"/>
  <c r="J3" i="3"/>
  <c r="Q29" i="2"/>
  <c r="E17" i="1"/>
  <c r="H32" i="1"/>
  <c r="Q19" i="2"/>
  <c r="Q21" i="2"/>
  <c r="Q13" i="2"/>
  <c r="J24" i="2"/>
  <c r="I26" i="1" s="1"/>
  <c r="E12" i="1"/>
  <c r="Q14" i="2"/>
  <c r="E10" i="1"/>
  <c r="Q10" i="2"/>
  <c r="R10" i="2" s="1"/>
  <c r="Q9" i="2"/>
  <c r="R9" i="2" s="1"/>
  <c r="Q22" i="2"/>
  <c r="Q30" i="2"/>
  <c r="R30" i="2" s="1"/>
  <c r="F33" i="1"/>
  <c r="J18" i="2"/>
  <c r="I20" i="1" s="1"/>
  <c r="J4" i="2"/>
  <c r="I6" i="1" s="1"/>
  <c r="Q6" i="2"/>
  <c r="Q16" i="2"/>
  <c r="Q20" i="2"/>
  <c r="Q26" i="2"/>
  <c r="J23" i="2"/>
  <c r="I25" i="1" s="1"/>
  <c r="E11" i="1"/>
  <c r="E13" i="1"/>
  <c r="C50" i="1"/>
  <c r="Q18" i="2"/>
  <c r="J26" i="2"/>
  <c r="I28" i="1" s="1"/>
  <c r="D50" i="1"/>
  <c r="F31" i="2"/>
  <c r="Q5" i="2"/>
  <c r="J19" i="2"/>
  <c r="I21" i="1" s="1"/>
  <c r="J21" i="2"/>
  <c r="Q15" i="2"/>
  <c r="R15" i="2" s="1"/>
  <c r="E9" i="1"/>
  <c r="Q11" i="2"/>
  <c r="R11" i="2" s="1"/>
  <c r="Q23" i="2"/>
  <c r="Q27" i="2"/>
  <c r="H20" i="1"/>
  <c r="E26" i="1"/>
  <c r="R13" i="2"/>
  <c r="J16" i="2"/>
  <c r="I11" i="1"/>
  <c r="G33" i="1"/>
  <c r="J3" i="2"/>
  <c r="I5" i="1" s="1"/>
  <c r="J5" i="2"/>
  <c r="Q8" i="2"/>
  <c r="R8" i="2" s="1"/>
  <c r="J12" i="2"/>
  <c r="I14" i="1" s="1"/>
  <c r="J17" i="2"/>
  <c r="I19" i="1" s="1"/>
  <c r="J25" i="2"/>
  <c r="I27" i="1" s="1"/>
  <c r="M31" i="2"/>
  <c r="J22" i="2"/>
  <c r="I24" i="1" s="1"/>
  <c r="J29" i="2"/>
  <c r="F50" i="1"/>
  <c r="P31" i="2"/>
  <c r="Q12" i="2"/>
  <c r="Q17" i="2"/>
  <c r="Q25" i="2"/>
  <c r="G50" i="1"/>
  <c r="Q7" i="2"/>
  <c r="R7" i="2" s="1"/>
  <c r="C33" i="1"/>
  <c r="Q24" i="2"/>
  <c r="D33" i="1"/>
  <c r="E5" i="1"/>
  <c r="Q4" i="2"/>
  <c r="J20" i="2"/>
  <c r="I22" i="1" s="1"/>
  <c r="Q28" i="2"/>
  <c r="I12" i="1"/>
  <c r="I31" i="2"/>
  <c r="J28" i="2"/>
  <c r="I9" i="1"/>
  <c r="E22" i="1"/>
  <c r="Q3" i="2"/>
  <c r="J27" i="2"/>
  <c r="J14" i="2"/>
  <c r="E23" i="1"/>
  <c r="J6" i="2"/>
  <c r="R21" i="2" l="1"/>
  <c r="H33" i="1"/>
  <c r="H37" i="1"/>
  <c r="J16" i="3"/>
  <c r="H50" i="1"/>
  <c r="R16" i="2"/>
  <c r="R4" i="2"/>
  <c r="I18" i="1"/>
  <c r="R19" i="2"/>
  <c r="R22" i="2"/>
  <c r="R3" i="2"/>
  <c r="R24" i="2"/>
  <c r="R23" i="2"/>
  <c r="R18" i="2"/>
  <c r="R12" i="2"/>
  <c r="R20" i="2"/>
  <c r="I23" i="1"/>
  <c r="R17" i="2"/>
  <c r="R26" i="2"/>
  <c r="Q31" i="2"/>
  <c r="E33" i="1"/>
  <c r="R29" i="2"/>
  <c r="I31" i="1"/>
  <c r="R5" i="2"/>
  <c r="I7" i="1"/>
  <c r="R25" i="2"/>
  <c r="R14" i="2"/>
  <c r="I16" i="1"/>
  <c r="R28" i="2"/>
  <c r="I30" i="1"/>
  <c r="R6" i="2"/>
  <c r="I8" i="1"/>
  <c r="J31" i="2"/>
  <c r="I29" i="1"/>
  <c r="R27" i="2"/>
  <c r="R31" i="2" l="1"/>
  <c r="I33" i="1"/>
</calcChain>
</file>

<file path=xl/sharedStrings.xml><?xml version="1.0" encoding="utf-8"?>
<sst xmlns="http://schemas.openxmlformats.org/spreadsheetml/2006/main" count="147" uniqueCount="122">
  <si>
    <t>REKAP MASTER KPM PM</t>
  </si>
  <si>
    <t>SATUAN PENDIDIKAN</t>
  </si>
  <si>
    <t>KODE KPM</t>
  </si>
  <si>
    <t>NAMA KPM</t>
  </si>
  <si>
    <t>PORSI KECIL L</t>
  </si>
  <si>
    <t>PORSI KECIL P</t>
  </si>
  <si>
    <t>JUMLAH</t>
  </si>
  <si>
    <t>PORSI BESAR L</t>
  </si>
  <si>
    <t>PORSI BESAR P</t>
  </si>
  <si>
    <t>TOTAL</t>
  </si>
  <si>
    <t>JUMLAH TOTAL</t>
  </si>
  <si>
    <t>POSYANDU</t>
  </si>
  <si>
    <t>NO</t>
  </si>
  <si>
    <t>KELOMPOK PENERIMA MANFAAT</t>
  </si>
  <si>
    <t>NAMA SATUAN PENDIDIKAN</t>
  </si>
  <si>
    <t>PORSI KECIL PESERTA DIDIK</t>
  </si>
  <si>
    <t>PORSI BESAR PESERTA DIDIK</t>
  </si>
  <si>
    <t>TOTAL PESERTA DIDIK PORSI KECIL &amp; BESAR</t>
  </si>
  <si>
    <t>PENDIDIK</t>
  </si>
  <si>
    <t>TENAGA KEPENDIDIKAN</t>
  </si>
  <si>
    <t>TOTAL PENDIDIK &amp; TENAGA KEPENDIDIKAN</t>
  </si>
  <si>
    <t>TOTAL PENERIMA MANFAAT</t>
  </si>
  <si>
    <t>P</t>
  </si>
  <si>
    <t>L</t>
  </si>
  <si>
    <t>JUMLAH PORSI KECIL</t>
  </si>
  <si>
    <t>JUMLAH PORSI BESAR</t>
  </si>
  <si>
    <t>JUMLAH PENDIDIK</t>
  </si>
  <si>
    <t>JUMLAH TENAGA KEPENDIDIKAN</t>
  </si>
  <si>
    <t>PAUD/TK/RA/TKLB</t>
  </si>
  <si>
    <t>KB Al-Istiqomah</t>
  </si>
  <si>
    <t>KPM-SP-001</t>
  </si>
  <si>
    <t>KB Al-Muttaqien</t>
  </si>
  <si>
    <t>KPM-SP-002</t>
  </si>
  <si>
    <t>RA/BA/TA Al-Mukarromah</t>
  </si>
  <si>
    <t>KPM-SP-003</t>
  </si>
  <si>
    <t>RA Raudlatul Mubtadiin</t>
  </si>
  <si>
    <t>KPM-SP-004</t>
  </si>
  <si>
    <t>SPS Darussalam</t>
  </si>
  <si>
    <t>KPM-SP-005</t>
  </si>
  <si>
    <t>SPS Al-Ikhsan</t>
  </si>
  <si>
    <t>KPM-SP-006</t>
  </si>
  <si>
    <t>SPS Purbajaya</t>
  </si>
  <si>
    <t>KPM-SP-007</t>
  </si>
  <si>
    <t>SPS Purbasari</t>
  </si>
  <si>
    <t>KPM-SP-008</t>
  </si>
  <si>
    <t>TK Al-Hidayah</t>
  </si>
  <si>
    <t>KPM-SP-009</t>
  </si>
  <si>
    <t>TK Bina Sarana</t>
  </si>
  <si>
    <t>KPM-SP-010</t>
  </si>
  <si>
    <t>TK Islam Al-Mustaqim</t>
  </si>
  <si>
    <t>KPM-SP-011</t>
  </si>
  <si>
    <t>TK Muslimat NU 1</t>
  </si>
  <si>
    <t>KPM-SP-012</t>
  </si>
  <si>
    <t>TK Muslimat NU 2</t>
  </si>
  <si>
    <t>KPM-SP-013</t>
  </si>
  <si>
    <t>SD/MI/SD SLB</t>
  </si>
  <si>
    <t>SDIT As-Syuaibiyah</t>
  </si>
  <si>
    <t>KPM-SP-014</t>
  </si>
  <si>
    <t>SD Negeri Agus Salim</t>
  </si>
  <si>
    <t>KPM-SP-015</t>
  </si>
  <si>
    <t>SD Negeri Fatahillah</t>
  </si>
  <si>
    <t>KPM-SP-016</t>
  </si>
  <si>
    <t>SD Negeri Hegarmanah</t>
  </si>
  <si>
    <t>KPM-SP-017</t>
  </si>
  <si>
    <t>SD Negeri Kebondanas</t>
  </si>
  <si>
    <t>KPM-SP-018</t>
  </si>
  <si>
    <t>SD Negeri Pusakajaya</t>
  </si>
  <si>
    <t>KPM-SP-019</t>
  </si>
  <si>
    <t>SD Negeri Raden Patah</t>
  </si>
  <si>
    <t>KPM-SP-020</t>
  </si>
  <si>
    <t>SD Negeri Sumursari</t>
  </si>
  <si>
    <t>KPM-SP-021</t>
  </si>
  <si>
    <t>MIS Miftahul Huda</t>
  </si>
  <si>
    <t>KPM-SP-022</t>
  </si>
  <si>
    <t>MIS Raudlatul Mubtadiin</t>
  </si>
  <si>
    <t>KPM-SP-023</t>
  </si>
  <si>
    <t>MIS Raudlatul Tholibin</t>
  </si>
  <si>
    <t>KPM-SP-024</t>
  </si>
  <si>
    <t>SMP/MTs/SMP SLB/ Pesantren Kelas 1-3</t>
  </si>
  <si>
    <t>MTsS Yapimu</t>
  </si>
  <si>
    <t>KPM-SP-025</t>
  </si>
  <si>
    <t>SMPS NU Ghofarona</t>
  </si>
  <si>
    <t>KPM-SP-026</t>
  </si>
  <si>
    <t>SMA/MA/SMK/SMA SLB/Pesantren Kelas 4-6</t>
  </si>
  <si>
    <t>MAS Yapimu</t>
  </si>
  <si>
    <t>KPM-SP-027</t>
  </si>
  <si>
    <t>SMKS NU Ghofarona</t>
  </si>
  <si>
    <t>KELOMPOK PM</t>
  </si>
  <si>
    <t>NAMA POSYANDU</t>
  </si>
  <si>
    <t>PORSI KECIL BALITA</t>
  </si>
  <si>
    <t>PORSI BESAR</t>
  </si>
  <si>
    <t>TOTAL 3B</t>
  </si>
  <si>
    <t>BUMIL</t>
  </si>
  <si>
    <t>BUSUI</t>
  </si>
  <si>
    <t>BALITA, BUMIL &amp; BUSUI</t>
  </si>
  <si>
    <t>Cempaka 1</t>
  </si>
  <si>
    <t>KPM-POS-001</t>
  </si>
  <si>
    <t>Cempaka 2</t>
  </si>
  <si>
    <t>KPM-POS-002</t>
  </si>
  <si>
    <t>Cempaka 3</t>
  </si>
  <si>
    <t>KPM-POS-003</t>
  </si>
  <si>
    <t>Cempaka 4</t>
  </si>
  <si>
    <t>KPM-POS-004</t>
  </si>
  <si>
    <t>Cempaka 5</t>
  </si>
  <si>
    <t>KPM-POS-005</t>
  </si>
  <si>
    <t>Cempaka 6</t>
  </si>
  <si>
    <t>KPM-POS-006</t>
  </si>
  <si>
    <t>Cempaka 7</t>
  </si>
  <si>
    <t>KPM-POS-007</t>
  </si>
  <si>
    <t>Purba Luwih 1</t>
  </si>
  <si>
    <t>KPM-POS-008</t>
  </si>
  <si>
    <t>Purba Luwih 2</t>
  </si>
  <si>
    <t>KPM-POS-009</t>
  </si>
  <si>
    <t>Purba Asih</t>
  </si>
  <si>
    <t>KPM-POS-010</t>
  </si>
  <si>
    <t>Purba Sari</t>
  </si>
  <si>
    <t>KPM-POS-011</t>
  </si>
  <si>
    <t>Purba Endah</t>
  </si>
  <si>
    <t>KPM-POS-012</t>
  </si>
  <si>
    <t>Purba Jaya</t>
  </si>
  <si>
    <t>KPM-POS-013</t>
  </si>
  <si>
    <t>KPM-SP-028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</si>
</sst>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4" xfId="0" applyBorder="1"/>
    <xf numFmtId="0" fontId="7" fillId="5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workbookViewId="0">
      <pane ySplit="4" topLeftCell="A5" activePane="bottomLeft" state="frozen"/>
      <selection pane="bottomLeft" activeCell="K33" sqref="K33"/>
    </sheetView>
  </sheetViews>
  <sheetFormatPr defaultRowHeight="14.4" x14ac:dyDescent="0.3"/>
  <cols>
    <col min="1" max="1" width="18" customWidth="1"/>
    <col min="2" max="2" width="30" customWidth="1"/>
    <col min="3" max="4" width="15" customWidth="1"/>
    <col min="5" max="5" width="12" customWidth="1"/>
    <col min="6" max="7" width="15" customWidth="1"/>
    <col min="8" max="9" width="12" customWidth="1"/>
  </cols>
  <sheetData>
    <row r="1" spans="1:9" x14ac:dyDescent="0.3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3" spans="1:9" ht="31.2" customHeight="1" x14ac:dyDescent="0.3">
      <c r="A3" s="40" t="s">
        <v>1</v>
      </c>
      <c r="B3" s="40"/>
      <c r="C3" s="40"/>
      <c r="D3" s="40"/>
      <c r="E3" s="40"/>
      <c r="F3" s="40"/>
      <c r="G3" s="40"/>
      <c r="H3" s="40"/>
      <c r="I3" s="40"/>
    </row>
    <row r="4" spans="1:9" ht="26.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6</v>
      </c>
      <c r="I4" s="14" t="s">
        <v>9</v>
      </c>
    </row>
    <row r="5" spans="1:9" x14ac:dyDescent="0.3">
      <c r="A5" s="15" t="str">
        <f>'Satuan Pendidikan'!S3</f>
        <v>KPM-SP-001</v>
      </c>
      <c r="B5" s="15" t="str">
        <f>'Satuan Pendidikan'!C3</f>
        <v>KB Al-Istiqomah</v>
      </c>
      <c r="C5" s="15">
        <f>'Satuan Pendidikan'!E3</f>
        <v>24</v>
      </c>
      <c r="D5" s="15">
        <f>'Satuan Pendidikan'!D3</f>
        <v>18</v>
      </c>
      <c r="E5" s="14">
        <f>'Satuan Pendidikan'!F3</f>
        <v>42</v>
      </c>
      <c r="F5" s="15">
        <f>'Satuan Pendidikan'!H3</f>
        <v>0</v>
      </c>
      <c r="G5" s="14">
        <f>'Satuan Pendidikan'!G3</f>
        <v>0</v>
      </c>
      <c r="H5" s="14">
        <f>'Satuan Pendidikan'!I3</f>
        <v>0</v>
      </c>
      <c r="I5" s="14">
        <f>'Satuan Pendidikan'!J3</f>
        <v>42</v>
      </c>
    </row>
    <row r="6" spans="1:9" x14ac:dyDescent="0.3">
      <c r="A6" s="15" t="str">
        <f>'Satuan Pendidikan'!S4</f>
        <v>KPM-SP-002</v>
      </c>
      <c r="B6" s="15" t="str">
        <f>'Satuan Pendidikan'!C4</f>
        <v>KB Al-Muttaqien</v>
      </c>
      <c r="C6" s="15">
        <f>'Satuan Pendidikan'!E4</f>
        <v>20</v>
      </c>
      <c r="D6" s="15">
        <f>'Satuan Pendidikan'!D4</f>
        <v>19</v>
      </c>
      <c r="E6" s="14">
        <f>'Satuan Pendidikan'!F4</f>
        <v>39</v>
      </c>
      <c r="F6" s="15">
        <f>'Satuan Pendidikan'!H4</f>
        <v>0</v>
      </c>
      <c r="G6" s="14">
        <f>'Satuan Pendidikan'!G4</f>
        <v>0</v>
      </c>
      <c r="H6" s="14">
        <f>'Satuan Pendidikan'!I4</f>
        <v>0</v>
      </c>
      <c r="I6" s="14">
        <f>'Satuan Pendidikan'!J4</f>
        <v>39</v>
      </c>
    </row>
    <row r="7" spans="1:9" x14ac:dyDescent="0.3">
      <c r="A7" s="15" t="str">
        <f>'Satuan Pendidikan'!S5</f>
        <v>KPM-SP-003</v>
      </c>
      <c r="B7" s="15" t="str">
        <f>'Satuan Pendidikan'!C5</f>
        <v>RA/BA/TA Al-Mukarromah</v>
      </c>
      <c r="C7" s="15">
        <f>'Satuan Pendidikan'!E5</f>
        <v>32</v>
      </c>
      <c r="D7" s="15">
        <f>'Satuan Pendidikan'!D5</f>
        <v>26</v>
      </c>
      <c r="E7" s="14">
        <f>'Satuan Pendidikan'!F5</f>
        <v>58</v>
      </c>
      <c r="F7" s="15">
        <f>'Satuan Pendidikan'!H5</f>
        <v>0</v>
      </c>
      <c r="G7" s="14">
        <f>'Satuan Pendidikan'!G5</f>
        <v>0</v>
      </c>
      <c r="H7" s="14">
        <f>'Satuan Pendidikan'!I5</f>
        <v>0</v>
      </c>
      <c r="I7" s="14">
        <f>'Satuan Pendidikan'!J5</f>
        <v>58</v>
      </c>
    </row>
    <row r="8" spans="1:9" x14ac:dyDescent="0.3">
      <c r="A8" s="15" t="str">
        <f>'Satuan Pendidikan'!S6</f>
        <v>KPM-SP-004</v>
      </c>
      <c r="B8" s="15" t="str">
        <f>'Satuan Pendidikan'!C6</f>
        <v>RA Raudlatul Mubtadiin</v>
      </c>
      <c r="C8" s="15">
        <f>'Satuan Pendidikan'!E6</f>
        <v>7</v>
      </c>
      <c r="D8" s="15">
        <f>'Satuan Pendidikan'!D6</f>
        <v>10</v>
      </c>
      <c r="E8" s="14">
        <f>'Satuan Pendidikan'!F6</f>
        <v>17</v>
      </c>
      <c r="F8" s="15">
        <f>'Satuan Pendidikan'!H6</f>
        <v>0</v>
      </c>
      <c r="G8" s="14">
        <f>'Satuan Pendidikan'!G6</f>
        <v>0</v>
      </c>
      <c r="H8" s="14">
        <f>'Satuan Pendidikan'!I6</f>
        <v>0</v>
      </c>
      <c r="I8" s="14">
        <f>'Satuan Pendidikan'!J6</f>
        <v>17</v>
      </c>
    </row>
    <row r="9" spans="1:9" x14ac:dyDescent="0.3">
      <c r="A9" s="15" t="str">
        <f>'Satuan Pendidikan'!S7</f>
        <v>KPM-SP-005</v>
      </c>
      <c r="B9" s="15" t="str">
        <f>'Satuan Pendidikan'!C7</f>
        <v>SPS Darussalam</v>
      </c>
      <c r="C9" s="15">
        <f>'Satuan Pendidikan'!E7</f>
        <v>18</v>
      </c>
      <c r="D9" s="15">
        <f>'Satuan Pendidikan'!D7</f>
        <v>17</v>
      </c>
      <c r="E9" s="14">
        <f>'Satuan Pendidikan'!F7</f>
        <v>35</v>
      </c>
      <c r="F9" s="15">
        <f>'Satuan Pendidikan'!H7</f>
        <v>0</v>
      </c>
      <c r="G9" s="14">
        <f>'Satuan Pendidikan'!G7</f>
        <v>0</v>
      </c>
      <c r="H9" s="14">
        <f>'Satuan Pendidikan'!I7</f>
        <v>0</v>
      </c>
      <c r="I9" s="14">
        <f>'Satuan Pendidikan'!J7</f>
        <v>35</v>
      </c>
    </row>
    <row r="10" spans="1:9" x14ac:dyDescent="0.3">
      <c r="A10" s="15" t="str">
        <f>'Satuan Pendidikan'!S8</f>
        <v>KPM-SP-006</v>
      </c>
      <c r="B10" s="15" t="str">
        <f>'Satuan Pendidikan'!C8</f>
        <v>SPS Al-Ikhsan</v>
      </c>
      <c r="C10" s="15">
        <f>'Satuan Pendidikan'!E8</f>
        <v>18</v>
      </c>
      <c r="D10" s="15">
        <f>'Satuan Pendidikan'!D8</f>
        <v>12</v>
      </c>
      <c r="E10" s="14">
        <f>'Satuan Pendidikan'!F8</f>
        <v>30</v>
      </c>
      <c r="F10" s="15">
        <f>'Satuan Pendidikan'!H8</f>
        <v>0</v>
      </c>
      <c r="G10" s="14">
        <f>'Satuan Pendidikan'!G8</f>
        <v>0</v>
      </c>
      <c r="H10" s="14">
        <f>'Satuan Pendidikan'!I8</f>
        <v>0</v>
      </c>
      <c r="I10" s="14">
        <f>'Satuan Pendidikan'!J8</f>
        <v>30</v>
      </c>
    </row>
    <row r="11" spans="1:9" x14ac:dyDescent="0.3">
      <c r="A11" s="15" t="str">
        <f>'Satuan Pendidikan'!S9</f>
        <v>KPM-SP-007</v>
      </c>
      <c r="B11" s="15" t="str">
        <f>'Satuan Pendidikan'!C9</f>
        <v>SPS Purbajaya</v>
      </c>
      <c r="C11" s="15">
        <f>'Satuan Pendidikan'!E9</f>
        <v>11</v>
      </c>
      <c r="D11" s="15">
        <f>'Satuan Pendidikan'!D9</f>
        <v>9</v>
      </c>
      <c r="E11" s="14">
        <f>'Satuan Pendidikan'!F9</f>
        <v>20</v>
      </c>
      <c r="F11" s="15">
        <f>'Satuan Pendidikan'!H9</f>
        <v>0</v>
      </c>
      <c r="G11" s="14">
        <f>'Satuan Pendidikan'!G9</f>
        <v>0</v>
      </c>
      <c r="H11" s="14">
        <f>'Satuan Pendidikan'!I9</f>
        <v>0</v>
      </c>
      <c r="I11" s="14">
        <f>'Satuan Pendidikan'!J9</f>
        <v>20</v>
      </c>
    </row>
    <row r="12" spans="1:9" x14ac:dyDescent="0.3">
      <c r="A12" s="15" t="str">
        <f>'Satuan Pendidikan'!S10</f>
        <v>KPM-SP-008</v>
      </c>
      <c r="B12" s="15" t="str">
        <f>'Satuan Pendidikan'!C10</f>
        <v>SPS Purbasari</v>
      </c>
      <c r="C12" s="15">
        <f>'Satuan Pendidikan'!E10</f>
        <v>28</v>
      </c>
      <c r="D12" s="15">
        <f>'Satuan Pendidikan'!D10</f>
        <v>23</v>
      </c>
      <c r="E12" s="14">
        <f>'Satuan Pendidikan'!F10</f>
        <v>51</v>
      </c>
      <c r="F12" s="15">
        <f>'Satuan Pendidikan'!H10</f>
        <v>0</v>
      </c>
      <c r="G12" s="14">
        <f>'Satuan Pendidikan'!G10</f>
        <v>0</v>
      </c>
      <c r="H12" s="14">
        <f>'Satuan Pendidikan'!I10</f>
        <v>0</v>
      </c>
      <c r="I12" s="14">
        <f>'Satuan Pendidikan'!J10</f>
        <v>51</v>
      </c>
    </row>
    <row r="13" spans="1:9" x14ac:dyDescent="0.3">
      <c r="A13" s="15" t="str">
        <f>'Satuan Pendidikan'!S11</f>
        <v>KPM-SP-009</v>
      </c>
      <c r="B13" s="15" t="str">
        <f>'Satuan Pendidikan'!C11</f>
        <v>TK Al-Hidayah</v>
      </c>
      <c r="C13" s="15">
        <f>'Satuan Pendidikan'!E11</f>
        <v>20</v>
      </c>
      <c r="D13" s="15">
        <f>'Satuan Pendidikan'!D11</f>
        <v>15</v>
      </c>
      <c r="E13" s="14">
        <f>'Satuan Pendidikan'!F11</f>
        <v>35</v>
      </c>
      <c r="F13" s="15">
        <f>'Satuan Pendidikan'!H11</f>
        <v>0</v>
      </c>
      <c r="G13" s="14">
        <f>'Satuan Pendidikan'!G11</f>
        <v>0</v>
      </c>
      <c r="H13" s="14">
        <f>'Satuan Pendidikan'!I11</f>
        <v>0</v>
      </c>
      <c r="I13" s="14">
        <f>'Satuan Pendidikan'!J11</f>
        <v>35</v>
      </c>
    </row>
    <row r="14" spans="1:9" x14ac:dyDescent="0.3">
      <c r="A14" s="15" t="str">
        <f>'Satuan Pendidikan'!S12</f>
        <v>KPM-SP-010</v>
      </c>
      <c r="B14" s="15" t="str">
        <f>'Satuan Pendidikan'!C12</f>
        <v>TK Bina Sarana</v>
      </c>
      <c r="C14" s="15">
        <f>'Satuan Pendidikan'!E12</f>
        <v>18</v>
      </c>
      <c r="D14" s="15">
        <f>'Satuan Pendidikan'!D12</f>
        <v>22</v>
      </c>
      <c r="E14" s="14">
        <f>'Satuan Pendidikan'!F12</f>
        <v>40</v>
      </c>
      <c r="F14" s="15">
        <f>'Satuan Pendidikan'!H12</f>
        <v>0</v>
      </c>
      <c r="G14" s="14">
        <f>'Satuan Pendidikan'!G12</f>
        <v>0</v>
      </c>
      <c r="H14" s="14">
        <f>'Satuan Pendidikan'!I12</f>
        <v>0</v>
      </c>
      <c r="I14" s="14">
        <f>'Satuan Pendidikan'!J12</f>
        <v>40</v>
      </c>
    </row>
    <row r="15" spans="1:9" x14ac:dyDescent="0.3">
      <c r="A15" s="15" t="str">
        <f>'Satuan Pendidikan'!S13</f>
        <v>KPM-SP-011</v>
      </c>
      <c r="B15" s="15" t="str">
        <f>'Satuan Pendidikan'!C13</f>
        <v>TK Islam Al-Mustaqim</v>
      </c>
      <c r="C15" s="15">
        <f>'Satuan Pendidikan'!E13</f>
        <v>37</v>
      </c>
      <c r="D15" s="15">
        <f>'Satuan Pendidikan'!D13</f>
        <v>43</v>
      </c>
      <c r="E15" s="14">
        <f>'Satuan Pendidikan'!F13</f>
        <v>80</v>
      </c>
      <c r="F15" s="15">
        <f>'Satuan Pendidikan'!H13</f>
        <v>0</v>
      </c>
      <c r="G15" s="14">
        <f>'Satuan Pendidikan'!G13</f>
        <v>0</v>
      </c>
      <c r="H15" s="14">
        <f>'Satuan Pendidikan'!I13</f>
        <v>0</v>
      </c>
      <c r="I15" s="14">
        <f>'Satuan Pendidikan'!J13</f>
        <v>80</v>
      </c>
    </row>
    <row r="16" spans="1:9" x14ac:dyDescent="0.3">
      <c r="A16" s="15" t="str">
        <f>'Satuan Pendidikan'!S14</f>
        <v>KPM-SP-012</v>
      </c>
      <c r="B16" s="15" t="str">
        <f>'Satuan Pendidikan'!C14</f>
        <v>TK Muslimat NU 1</v>
      </c>
      <c r="C16" s="15">
        <f>'Satuan Pendidikan'!E14</f>
        <v>13</v>
      </c>
      <c r="D16" s="15">
        <f>'Satuan Pendidikan'!D14</f>
        <v>10</v>
      </c>
      <c r="E16" s="14">
        <f>'Satuan Pendidikan'!F14</f>
        <v>23</v>
      </c>
      <c r="F16" s="15">
        <f>'Satuan Pendidikan'!H14</f>
        <v>0</v>
      </c>
      <c r="G16" s="14">
        <f>'Satuan Pendidikan'!G14</f>
        <v>0</v>
      </c>
      <c r="H16" s="14">
        <f>'Satuan Pendidikan'!I14</f>
        <v>0</v>
      </c>
      <c r="I16" s="14">
        <f>'Satuan Pendidikan'!J14</f>
        <v>23</v>
      </c>
    </row>
    <row r="17" spans="1:9" x14ac:dyDescent="0.3">
      <c r="A17" s="15" t="str">
        <f>'Satuan Pendidikan'!S15</f>
        <v>KPM-SP-013</v>
      </c>
      <c r="B17" s="15" t="str">
        <f>'Satuan Pendidikan'!C15</f>
        <v>TK Muslimat NU 2</v>
      </c>
      <c r="C17" s="15">
        <f>'Satuan Pendidikan'!E15</f>
        <v>10</v>
      </c>
      <c r="D17" s="15">
        <f>'Satuan Pendidikan'!D15</f>
        <v>13</v>
      </c>
      <c r="E17" s="14">
        <f>'Satuan Pendidikan'!F15</f>
        <v>23</v>
      </c>
      <c r="F17" s="15">
        <f>'Satuan Pendidikan'!H15</f>
        <v>0</v>
      </c>
      <c r="G17" s="14">
        <f>'Satuan Pendidikan'!G15</f>
        <v>0</v>
      </c>
      <c r="H17" s="14">
        <f>'Satuan Pendidikan'!I15</f>
        <v>0</v>
      </c>
      <c r="I17" s="14">
        <f>'Satuan Pendidikan'!J15</f>
        <v>23</v>
      </c>
    </row>
    <row r="18" spans="1:9" x14ac:dyDescent="0.3">
      <c r="A18" s="15" t="str">
        <f>'Satuan Pendidikan'!S16</f>
        <v>KPM-SP-014</v>
      </c>
      <c r="B18" s="15" t="str">
        <f>'Satuan Pendidikan'!C16</f>
        <v>SDIT As-Syuaibiyah</v>
      </c>
      <c r="C18" s="15">
        <f>'Satuan Pendidikan'!E16</f>
        <v>45</v>
      </c>
      <c r="D18" s="15">
        <f>'Satuan Pendidikan'!D16</f>
        <v>41</v>
      </c>
      <c r="E18" s="14">
        <f>'Satuan Pendidikan'!F16</f>
        <v>86</v>
      </c>
      <c r="F18" s="15">
        <f>'Satuan Pendidikan'!H16</f>
        <v>34</v>
      </c>
      <c r="G18" s="14">
        <f>'Satuan Pendidikan'!G16</f>
        <v>22</v>
      </c>
      <c r="H18" s="14">
        <f>'Satuan Pendidikan'!I16</f>
        <v>56</v>
      </c>
      <c r="I18" s="14">
        <f>'Satuan Pendidikan'!J16</f>
        <v>142</v>
      </c>
    </row>
    <row r="19" spans="1:9" x14ac:dyDescent="0.3">
      <c r="A19" s="15" t="str">
        <f>'Satuan Pendidikan'!S17</f>
        <v>KPM-SP-015</v>
      </c>
      <c r="B19" s="15" t="str">
        <f>'Satuan Pendidikan'!C17</f>
        <v>SD Negeri Agus Salim</v>
      </c>
      <c r="C19" s="15">
        <f>'Satuan Pendidikan'!E17</f>
        <v>37</v>
      </c>
      <c r="D19" s="15">
        <f>'Satuan Pendidikan'!D17</f>
        <v>29</v>
      </c>
      <c r="E19" s="14">
        <f>'Satuan Pendidikan'!F17</f>
        <v>66</v>
      </c>
      <c r="F19" s="15">
        <f>'Satuan Pendidikan'!H17</f>
        <v>32</v>
      </c>
      <c r="G19" s="14">
        <f>'Satuan Pendidikan'!G17</f>
        <v>17</v>
      </c>
      <c r="H19" s="14">
        <f>'Satuan Pendidikan'!I17</f>
        <v>49</v>
      </c>
      <c r="I19" s="14">
        <f>'Satuan Pendidikan'!J17</f>
        <v>115</v>
      </c>
    </row>
    <row r="20" spans="1:9" x14ac:dyDescent="0.3">
      <c r="A20" s="15" t="str">
        <f>'Satuan Pendidikan'!S18</f>
        <v>KPM-SP-016</v>
      </c>
      <c r="B20" s="15" t="str">
        <f>'Satuan Pendidikan'!C18</f>
        <v>SD Negeri Fatahillah</v>
      </c>
      <c r="C20" s="15">
        <f>'Satuan Pendidikan'!E18</f>
        <v>16</v>
      </c>
      <c r="D20" s="15">
        <f>'Satuan Pendidikan'!D18</f>
        <v>14</v>
      </c>
      <c r="E20" s="14">
        <f>'Satuan Pendidikan'!F18</f>
        <v>30</v>
      </c>
      <c r="F20" s="15">
        <f>'Satuan Pendidikan'!H18</f>
        <v>26</v>
      </c>
      <c r="G20" s="14">
        <f>'Satuan Pendidikan'!G18</f>
        <v>15</v>
      </c>
      <c r="H20" s="14">
        <f>'Satuan Pendidikan'!I18</f>
        <v>41</v>
      </c>
      <c r="I20" s="14">
        <f>'Satuan Pendidikan'!J18</f>
        <v>71</v>
      </c>
    </row>
    <row r="21" spans="1:9" x14ac:dyDescent="0.3">
      <c r="A21" s="15" t="str">
        <f>'Satuan Pendidikan'!S19</f>
        <v>KPM-SP-017</v>
      </c>
      <c r="B21" s="15" t="str">
        <f>'Satuan Pendidikan'!C19</f>
        <v>SD Negeri Hegarmanah</v>
      </c>
      <c r="C21" s="15">
        <f>'Satuan Pendidikan'!E19</f>
        <v>38</v>
      </c>
      <c r="D21" s="15">
        <f>'Satuan Pendidikan'!D19</f>
        <v>27</v>
      </c>
      <c r="E21" s="14">
        <f>'Satuan Pendidikan'!F19</f>
        <v>65</v>
      </c>
      <c r="F21" s="15">
        <f>'Satuan Pendidikan'!H19</f>
        <v>40</v>
      </c>
      <c r="G21" s="14">
        <f>'Satuan Pendidikan'!G19</f>
        <v>43</v>
      </c>
      <c r="H21" s="14">
        <f>'Satuan Pendidikan'!I19</f>
        <v>83</v>
      </c>
      <c r="I21" s="14">
        <f>'Satuan Pendidikan'!J19</f>
        <v>148</v>
      </c>
    </row>
    <row r="22" spans="1:9" x14ac:dyDescent="0.3">
      <c r="A22" s="15" t="str">
        <f>'Satuan Pendidikan'!S20</f>
        <v>KPM-SP-018</v>
      </c>
      <c r="B22" s="15" t="str">
        <f>'Satuan Pendidikan'!C20</f>
        <v>SD Negeri Kebondanas</v>
      </c>
      <c r="C22" s="15">
        <f>'Satuan Pendidikan'!E20</f>
        <v>53</v>
      </c>
      <c r="D22" s="15">
        <f>'Satuan Pendidikan'!D20</f>
        <v>47</v>
      </c>
      <c r="E22" s="14">
        <f>'Satuan Pendidikan'!F20</f>
        <v>100</v>
      </c>
      <c r="F22" s="15">
        <f>'Satuan Pendidikan'!H20</f>
        <v>46</v>
      </c>
      <c r="G22" s="14">
        <f>'Satuan Pendidikan'!G20</f>
        <v>55</v>
      </c>
      <c r="H22" s="14">
        <f>'Satuan Pendidikan'!I20</f>
        <v>101</v>
      </c>
      <c r="I22" s="14">
        <f>'Satuan Pendidikan'!J20</f>
        <v>201</v>
      </c>
    </row>
    <row r="23" spans="1:9" x14ac:dyDescent="0.3">
      <c r="A23" s="15" t="str">
        <f>'Satuan Pendidikan'!S21</f>
        <v>KPM-SP-019</v>
      </c>
      <c r="B23" s="15" t="str">
        <f>'Satuan Pendidikan'!C21</f>
        <v>SD Negeri Pusakajaya</v>
      </c>
      <c r="C23" s="15">
        <f>'Satuan Pendidikan'!E21</f>
        <v>69</v>
      </c>
      <c r="D23" s="15">
        <f>'Satuan Pendidikan'!D21</f>
        <v>66</v>
      </c>
      <c r="E23" s="14">
        <f>'Satuan Pendidikan'!F21</f>
        <v>135</v>
      </c>
      <c r="F23" s="15">
        <f>'Satuan Pendidikan'!H21</f>
        <v>58</v>
      </c>
      <c r="G23" s="14">
        <f>'Satuan Pendidikan'!G21</f>
        <v>68</v>
      </c>
      <c r="H23" s="14">
        <f>'Satuan Pendidikan'!I21</f>
        <v>126</v>
      </c>
      <c r="I23" s="14">
        <f>'Satuan Pendidikan'!J21</f>
        <v>261</v>
      </c>
    </row>
    <row r="24" spans="1:9" x14ac:dyDescent="0.3">
      <c r="A24" s="15" t="str">
        <f>'Satuan Pendidikan'!S22</f>
        <v>KPM-SP-020</v>
      </c>
      <c r="B24" s="15" t="str">
        <f>'Satuan Pendidikan'!C22</f>
        <v>SD Negeri Raden Patah</v>
      </c>
      <c r="C24" s="15">
        <f>'Satuan Pendidikan'!E22</f>
        <v>36</v>
      </c>
      <c r="D24" s="15">
        <f>'Satuan Pendidikan'!D22</f>
        <v>35</v>
      </c>
      <c r="E24" s="14">
        <f>'Satuan Pendidikan'!F22</f>
        <v>71</v>
      </c>
      <c r="F24" s="15">
        <f>'Satuan Pendidikan'!H22</f>
        <v>33</v>
      </c>
      <c r="G24" s="14">
        <f>'Satuan Pendidikan'!G22</f>
        <v>32</v>
      </c>
      <c r="H24" s="14">
        <f>'Satuan Pendidikan'!I22</f>
        <v>65</v>
      </c>
      <c r="I24" s="14">
        <f>'Satuan Pendidikan'!J22</f>
        <v>136</v>
      </c>
    </row>
    <row r="25" spans="1:9" x14ac:dyDescent="0.3">
      <c r="A25" s="15" t="str">
        <f>'Satuan Pendidikan'!S23</f>
        <v>KPM-SP-021</v>
      </c>
      <c r="B25" s="15" t="str">
        <f>'Satuan Pendidikan'!C23</f>
        <v>SD Negeri Sumursari</v>
      </c>
      <c r="C25" s="15">
        <f>'Satuan Pendidikan'!E23</f>
        <v>7</v>
      </c>
      <c r="D25" s="15">
        <f>'Satuan Pendidikan'!D23</f>
        <v>7</v>
      </c>
      <c r="E25" s="14">
        <f>'Satuan Pendidikan'!F23</f>
        <v>14</v>
      </c>
      <c r="F25" s="15">
        <f>'Satuan Pendidikan'!H23</f>
        <v>13</v>
      </c>
      <c r="G25" s="14">
        <f>'Satuan Pendidikan'!G23</f>
        <v>9</v>
      </c>
      <c r="H25" s="14">
        <f>'Satuan Pendidikan'!I23</f>
        <v>22</v>
      </c>
      <c r="I25" s="14">
        <f>'Satuan Pendidikan'!J23</f>
        <v>36</v>
      </c>
    </row>
    <row r="26" spans="1:9" x14ac:dyDescent="0.3">
      <c r="A26" s="15" t="str">
        <f>'Satuan Pendidikan'!S24</f>
        <v>KPM-SP-022</v>
      </c>
      <c r="B26" s="15" t="str">
        <f>'Satuan Pendidikan'!C24</f>
        <v>MIS Miftahul Huda</v>
      </c>
      <c r="C26" s="15">
        <f>'Satuan Pendidikan'!E24</f>
        <v>43</v>
      </c>
      <c r="D26" s="15">
        <f>'Satuan Pendidikan'!D24</f>
        <v>38</v>
      </c>
      <c r="E26" s="14">
        <f>'Satuan Pendidikan'!F24</f>
        <v>81</v>
      </c>
      <c r="F26" s="15">
        <f>'Satuan Pendidikan'!H24</f>
        <v>37</v>
      </c>
      <c r="G26" s="14">
        <f>'Satuan Pendidikan'!G24</f>
        <v>30</v>
      </c>
      <c r="H26" s="14">
        <f>'Satuan Pendidikan'!I24</f>
        <v>67</v>
      </c>
      <c r="I26" s="14">
        <f>'Satuan Pendidikan'!J24</f>
        <v>148</v>
      </c>
    </row>
    <row r="27" spans="1:9" x14ac:dyDescent="0.3">
      <c r="A27" s="15" t="str">
        <f>'Satuan Pendidikan'!S25</f>
        <v>KPM-SP-023</v>
      </c>
      <c r="B27" s="15" t="str">
        <f>'Satuan Pendidikan'!C25</f>
        <v>MIS Raudlatul Mubtadiin</v>
      </c>
      <c r="C27" s="15">
        <f>'Satuan Pendidikan'!E25</f>
        <v>19</v>
      </c>
      <c r="D27" s="15">
        <f>'Satuan Pendidikan'!D25</f>
        <v>21</v>
      </c>
      <c r="E27" s="14">
        <f>'Satuan Pendidikan'!F25</f>
        <v>40</v>
      </c>
      <c r="F27" s="15">
        <f>'Satuan Pendidikan'!H25</f>
        <v>23</v>
      </c>
      <c r="G27" s="14">
        <f>'Satuan Pendidikan'!G25</f>
        <v>21</v>
      </c>
      <c r="H27" s="14">
        <f>'Satuan Pendidikan'!I25</f>
        <v>44</v>
      </c>
      <c r="I27" s="14">
        <f>'Satuan Pendidikan'!J25</f>
        <v>84</v>
      </c>
    </row>
    <row r="28" spans="1:9" x14ac:dyDescent="0.3">
      <c r="A28" s="15" t="str">
        <f>'Satuan Pendidikan'!S26</f>
        <v>KPM-SP-024</v>
      </c>
      <c r="B28" s="15" t="str">
        <f>'Satuan Pendidikan'!C26</f>
        <v>MIS Raudlatul Tholibin</v>
      </c>
      <c r="C28" s="15">
        <f>'Satuan Pendidikan'!E26</f>
        <v>62</v>
      </c>
      <c r="D28" s="15">
        <f>'Satuan Pendidikan'!D26</f>
        <v>61</v>
      </c>
      <c r="E28" s="14">
        <f>'Satuan Pendidikan'!F26</f>
        <v>123</v>
      </c>
      <c r="F28" s="15">
        <f>'Satuan Pendidikan'!H26</f>
        <v>52</v>
      </c>
      <c r="G28" s="14">
        <f>'Satuan Pendidikan'!G26</f>
        <v>54</v>
      </c>
      <c r="H28" s="14">
        <f>'Satuan Pendidikan'!I26</f>
        <v>106</v>
      </c>
      <c r="I28" s="14">
        <f>'Satuan Pendidikan'!J26</f>
        <v>229</v>
      </c>
    </row>
    <row r="29" spans="1:9" x14ac:dyDescent="0.3">
      <c r="A29" s="15" t="str">
        <f>'Satuan Pendidikan'!S27</f>
        <v>KPM-SP-025</v>
      </c>
      <c r="B29" s="15" t="str">
        <f>'Satuan Pendidikan'!C27</f>
        <v>MTsS Yapimu</v>
      </c>
      <c r="C29" s="15">
        <f>'Satuan Pendidikan'!E27</f>
        <v>0</v>
      </c>
      <c r="D29" s="15">
        <f>'Satuan Pendidikan'!D27</f>
        <v>0</v>
      </c>
      <c r="E29" s="14">
        <f>'Satuan Pendidikan'!F27</f>
        <v>0</v>
      </c>
      <c r="F29" s="15">
        <f>'Satuan Pendidikan'!H27</f>
        <v>48</v>
      </c>
      <c r="G29" s="14">
        <f>'Satuan Pendidikan'!G27</f>
        <v>57</v>
      </c>
      <c r="H29" s="14">
        <f>'Satuan Pendidikan'!I27</f>
        <v>105</v>
      </c>
      <c r="I29" s="14">
        <f>'Satuan Pendidikan'!J27</f>
        <v>105</v>
      </c>
    </row>
    <row r="30" spans="1:9" x14ac:dyDescent="0.3">
      <c r="A30" s="15" t="str">
        <f>'Satuan Pendidikan'!S28</f>
        <v>KPM-SP-026</v>
      </c>
      <c r="B30" s="15" t="str">
        <f>'Satuan Pendidikan'!C28</f>
        <v>SMPS NU Ghofarona</v>
      </c>
      <c r="C30" s="15">
        <f>'Satuan Pendidikan'!E28</f>
        <v>0</v>
      </c>
      <c r="D30" s="15">
        <f>'Satuan Pendidikan'!D28</f>
        <v>0</v>
      </c>
      <c r="E30" s="14">
        <f>'Satuan Pendidikan'!F28</f>
        <v>0</v>
      </c>
      <c r="F30" s="15">
        <f>'Satuan Pendidikan'!H28</f>
        <v>34</v>
      </c>
      <c r="G30" s="14">
        <f>'Satuan Pendidikan'!G28</f>
        <v>37</v>
      </c>
      <c r="H30" s="14">
        <f>'Satuan Pendidikan'!I28</f>
        <v>71</v>
      </c>
      <c r="I30" s="14">
        <f>'Satuan Pendidikan'!J28</f>
        <v>71</v>
      </c>
    </row>
    <row r="31" spans="1:9" x14ac:dyDescent="0.3">
      <c r="A31" s="15" t="str">
        <f>'Satuan Pendidikan'!S29</f>
        <v>KPM-SP-027</v>
      </c>
      <c r="B31" s="15" t="str">
        <f>'Satuan Pendidikan'!C29</f>
        <v>MAS Yapimu</v>
      </c>
      <c r="C31" s="15">
        <f>'Satuan Pendidikan'!E29</f>
        <v>0</v>
      </c>
      <c r="D31" s="15">
        <f>'Satuan Pendidikan'!D29</f>
        <v>0</v>
      </c>
      <c r="E31" s="14">
        <f>'Satuan Pendidikan'!F29</f>
        <v>0</v>
      </c>
      <c r="F31" s="15">
        <f>'Satuan Pendidikan'!H29</f>
        <v>34</v>
      </c>
      <c r="G31" s="14">
        <f>'Satuan Pendidikan'!G29</f>
        <v>46</v>
      </c>
      <c r="H31" s="14">
        <f>'Satuan Pendidikan'!I29</f>
        <v>80</v>
      </c>
      <c r="I31" s="14">
        <f>'Satuan Pendidikan'!J29</f>
        <v>80</v>
      </c>
    </row>
    <row r="32" spans="1:9" x14ac:dyDescent="0.3">
      <c r="A32" s="15" t="str">
        <f>'Satuan Pendidikan'!S30</f>
        <v>KPM-SP-028</v>
      </c>
      <c r="B32" s="15" t="str">
        <f>'Satuan Pendidikan'!C30</f>
        <v>SMKS NU Ghofarona</v>
      </c>
      <c r="C32" s="15">
        <f>'Satuan Pendidikan'!E30</f>
        <v>0</v>
      </c>
      <c r="D32" s="15">
        <f>'Satuan Pendidikan'!D30</f>
        <v>0</v>
      </c>
      <c r="E32" s="14">
        <f>'Satuan Pendidikan'!F30</f>
        <v>0</v>
      </c>
      <c r="F32" s="15">
        <f>'Satuan Pendidikan'!H30</f>
        <v>81</v>
      </c>
      <c r="G32" s="14">
        <f>'Satuan Pendidikan'!G30</f>
        <v>42</v>
      </c>
      <c r="H32" s="14">
        <f>'Satuan Pendidikan'!I30</f>
        <v>123</v>
      </c>
      <c r="I32" s="14">
        <f>'Satuan Pendidikan'!J30</f>
        <v>123</v>
      </c>
    </row>
    <row r="33" spans="1:9" x14ac:dyDescent="0.3">
      <c r="A33" s="38" t="s">
        <v>10</v>
      </c>
      <c r="B33" s="38"/>
      <c r="C33" s="17">
        <f>SUM(C5:C32)</f>
        <v>681</v>
      </c>
      <c r="D33" s="17">
        <f>SUM(D5:D32)</f>
        <v>623</v>
      </c>
      <c r="E33" s="14">
        <f>SUM(E5:E32)</f>
        <v>1304</v>
      </c>
      <c r="F33" s="17">
        <f>SUM(F5:F32)</f>
        <v>591</v>
      </c>
      <c r="G33" s="14">
        <f>SUM(G5:G32)</f>
        <v>548</v>
      </c>
      <c r="H33" s="14">
        <f>SUM(H5:H32)</f>
        <v>1139</v>
      </c>
      <c r="I33" s="14">
        <f>SUM(I5:I32)</f>
        <v>2443</v>
      </c>
    </row>
    <row r="35" spans="1:9" ht="15.6" x14ac:dyDescent="0.3">
      <c r="A35" s="41" t="s">
        <v>11</v>
      </c>
      <c r="B35" s="41"/>
      <c r="C35" s="41"/>
      <c r="D35" s="41"/>
      <c r="E35" s="41"/>
      <c r="F35" s="41"/>
      <c r="G35" s="41"/>
      <c r="H35" s="41"/>
    </row>
    <row r="36" spans="1:9" ht="26.4" x14ac:dyDescent="0.3">
      <c r="A36" s="14" t="s">
        <v>2</v>
      </c>
      <c r="B36" s="14" t="s">
        <v>3</v>
      </c>
      <c r="C36" s="14" t="s">
        <v>4</v>
      </c>
      <c r="D36" s="14" t="s">
        <v>5</v>
      </c>
      <c r="E36" s="14" t="s">
        <v>6</v>
      </c>
      <c r="F36" s="14" t="s">
        <v>8</v>
      </c>
      <c r="G36" s="14" t="s">
        <v>6</v>
      </c>
      <c r="H36" s="14" t="s">
        <v>9</v>
      </c>
    </row>
    <row r="37" spans="1:9" x14ac:dyDescent="0.3">
      <c r="A37" s="15" t="str">
        <f>Posyandu!K3</f>
        <v>KPM-POS-001</v>
      </c>
      <c r="B37" s="15" t="str">
        <f>Posyandu!C3</f>
        <v>Cempaka 1</v>
      </c>
      <c r="C37" s="15">
        <f>Posyandu!E3</f>
        <v>26</v>
      </c>
      <c r="D37" s="15">
        <f>Posyandu!D3</f>
        <v>18</v>
      </c>
      <c r="E37" s="14">
        <f>Posyandu!F3</f>
        <v>44</v>
      </c>
      <c r="F37" s="15">
        <f>Posyandu!G3+ Posyandu!H3</f>
        <v>38</v>
      </c>
      <c r="G37" s="14">
        <f>Posyandu!I3</f>
        <v>38</v>
      </c>
      <c r="H37" s="14">
        <f>Posyandu!J3</f>
        <v>82</v>
      </c>
    </row>
    <row r="38" spans="1:9" x14ac:dyDescent="0.3">
      <c r="A38" s="15" t="str">
        <f>Posyandu!K4</f>
        <v>KPM-POS-002</v>
      </c>
      <c r="B38" s="15" t="str">
        <f>Posyandu!C4</f>
        <v>Cempaka 2</v>
      </c>
      <c r="C38" s="15">
        <f>Posyandu!E4</f>
        <v>29</v>
      </c>
      <c r="D38" s="15">
        <f>Posyandu!D4</f>
        <v>24</v>
      </c>
      <c r="E38" s="14">
        <f>Posyandu!F4</f>
        <v>53</v>
      </c>
      <c r="F38" s="15">
        <f>Posyandu!G4+ Posyandu!H4</f>
        <v>44</v>
      </c>
      <c r="G38" s="14">
        <f>Posyandu!I4</f>
        <v>44</v>
      </c>
      <c r="H38" s="14">
        <f>Posyandu!J4</f>
        <v>97</v>
      </c>
    </row>
    <row r="39" spans="1:9" x14ac:dyDescent="0.3">
      <c r="A39" s="15" t="str">
        <f>Posyandu!K5</f>
        <v>KPM-POS-003</v>
      </c>
      <c r="B39" s="15" t="str">
        <f>Posyandu!C5</f>
        <v>Cempaka 3</v>
      </c>
      <c r="C39" s="15">
        <f>Posyandu!E5</f>
        <v>18</v>
      </c>
      <c r="D39" s="15">
        <f>Posyandu!D5</f>
        <v>16</v>
      </c>
      <c r="E39" s="14">
        <f>Posyandu!F5</f>
        <v>34</v>
      </c>
      <c r="F39" s="15">
        <f>Posyandu!G5+ Posyandu!H5</f>
        <v>20</v>
      </c>
      <c r="G39" s="14">
        <f>Posyandu!I5</f>
        <v>20</v>
      </c>
      <c r="H39" s="14">
        <f>Posyandu!J5</f>
        <v>54</v>
      </c>
    </row>
    <row r="40" spans="1:9" x14ac:dyDescent="0.3">
      <c r="A40" s="15" t="str">
        <f>Posyandu!K6</f>
        <v>KPM-POS-004</v>
      </c>
      <c r="B40" s="15" t="str">
        <f>Posyandu!C6</f>
        <v>Cempaka 4</v>
      </c>
      <c r="C40" s="15">
        <f>Posyandu!E6</f>
        <v>19</v>
      </c>
      <c r="D40" s="15">
        <f>Posyandu!D6</f>
        <v>21</v>
      </c>
      <c r="E40" s="14">
        <f>Posyandu!F6</f>
        <v>40</v>
      </c>
      <c r="F40" s="15">
        <f>Posyandu!G6+ Posyandu!H6</f>
        <v>35</v>
      </c>
      <c r="G40" s="14">
        <f>Posyandu!I6</f>
        <v>35</v>
      </c>
      <c r="H40" s="14">
        <f>Posyandu!J6</f>
        <v>75</v>
      </c>
    </row>
    <row r="41" spans="1:9" x14ac:dyDescent="0.3">
      <c r="A41" s="15" t="str">
        <f>Posyandu!K7</f>
        <v>KPM-POS-005</v>
      </c>
      <c r="B41" s="15" t="str">
        <f>Posyandu!C7</f>
        <v>Cempaka 5</v>
      </c>
      <c r="C41" s="15">
        <f>Posyandu!E7</f>
        <v>18</v>
      </c>
      <c r="D41" s="15">
        <f>Posyandu!D7</f>
        <v>17</v>
      </c>
      <c r="E41" s="14">
        <f>Posyandu!F7</f>
        <v>35</v>
      </c>
      <c r="F41" s="15">
        <f>Posyandu!G7+ Posyandu!H7</f>
        <v>26</v>
      </c>
      <c r="G41" s="14">
        <f>Posyandu!I7</f>
        <v>26</v>
      </c>
      <c r="H41" s="14">
        <f>Posyandu!J7</f>
        <v>61</v>
      </c>
    </row>
    <row r="42" spans="1:9" x14ac:dyDescent="0.3">
      <c r="A42" s="15" t="str">
        <f>Posyandu!K8</f>
        <v>KPM-POS-006</v>
      </c>
      <c r="B42" s="15" t="str">
        <f>Posyandu!C8</f>
        <v>Cempaka 6</v>
      </c>
      <c r="C42" s="15">
        <f>Posyandu!E8</f>
        <v>10</v>
      </c>
      <c r="D42" s="15">
        <f>Posyandu!D8</f>
        <v>20</v>
      </c>
      <c r="E42" s="14">
        <f>Posyandu!F8</f>
        <v>30</v>
      </c>
      <c r="F42" s="15">
        <f>Posyandu!G8+ Posyandu!H8</f>
        <v>22</v>
      </c>
      <c r="G42" s="14">
        <f>Posyandu!I8</f>
        <v>22</v>
      </c>
      <c r="H42" s="14">
        <f>Posyandu!J8</f>
        <v>52</v>
      </c>
    </row>
    <row r="43" spans="1:9" x14ac:dyDescent="0.3">
      <c r="A43" s="15" t="str">
        <f>Posyandu!K9</f>
        <v>KPM-POS-007</v>
      </c>
      <c r="B43" s="15" t="str">
        <f>Posyandu!C9</f>
        <v>Cempaka 7</v>
      </c>
      <c r="C43" s="15">
        <f>Posyandu!E9</f>
        <v>10</v>
      </c>
      <c r="D43" s="15">
        <f>Posyandu!D9</f>
        <v>3</v>
      </c>
      <c r="E43" s="14">
        <f>Posyandu!F9</f>
        <v>13</v>
      </c>
      <c r="F43" s="15">
        <f>Posyandu!G9+ Posyandu!H9</f>
        <v>8</v>
      </c>
      <c r="G43" s="14">
        <f>Posyandu!I9</f>
        <v>8</v>
      </c>
      <c r="H43" s="14">
        <f>Posyandu!J9</f>
        <v>21</v>
      </c>
    </row>
    <row r="44" spans="1:9" x14ac:dyDescent="0.3">
      <c r="A44" s="15" t="str">
        <f>Posyandu!K10</f>
        <v>KPM-POS-008</v>
      </c>
      <c r="B44" s="15" t="str">
        <f>Posyandu!C10</f>
        <v>Purba Luwih 1</v>
      </c>
      <c r="C44" s="15">
        <f>Posyandu!E10</f>
        <v>24</v>
      </c>
      <c r="D44" s="15">
        <f>Posyandu!D10</f>
        <v>20</v>
      </c>
      <c r="E44" s="14">
        <f>Posyandu!F10</f>
        <v>44</v>
      </c>
      <c r="F44" s="15">
        <f>Posyandu!G10+ Posyandu!H10</f>
        <v>16</v>
      </c>
      <c r="G44" s="14">
        <f>Posyandu!I10</f>
        <v>16</v>
      </c>
      <c r="H44" s="14">
        <f>Posyandu!J10</f>
        <v>60</v>
      </c>
    </row>
    <row r="45" spans="1:9" x14ac:dyDescent="0.3">
      <c r="A45" s="15" t="str">
        <f>Posyandu!K11</f>
        <v>KPM-POS-009</v>
      </c>
      <c r="B45" s="15" t="str">
        <f>Posyandu!C11</f>
        <v>Purba Luwih 2</v>
      </c>
      <c r="C45" s="15">
        <f>Posyandu!E11</f>
        <v>7</v>
      </c>
      <c r="D45" s="15">
        <f>Posyandu!D11</f>
        <v>12</v>
      </c>
      <c r="E45" s="14">
        <f>Posyandu!F11</f>
        <v>19</v>
      </c>
      <c r="F45" s="15">
        <f>Posyandu!G11+ Posyandu!H11</f>
        <v>26</v>
      </c>
      <c r="G45" s="14">
        <f>Posyandu!I11</f>
        <v>26</v>
      </c>
      <c r="H45" s="14">
        <f>Posyandu!J11</f>
        <v>45</v>
      </c>
    </row>
    <row r="46" spans="1:9" x14ac:dyDescent="0.3">
      <c r="A46" s="15" t="str">
        <f>Posyandu!K12</f>
        <v>KPM-POS-010</v>
      </c>
      <c r="B46" s="15" t="str">
        <f>Posyandu!C12</f>
        <v>Purba Asih</v>
      </c>
      <c r="C46" s="15">
        <f>Posyandu!E12</f>
        <v>19</v>
      </c>
      <c r="D46" s="15">
        <f>Posyandu!D12</f>
        <v>13</v>
      </c>
      <c r="E46" s="14">
        <f>Posyandu!F12</f>
        <v>32</v>
      </c>
      <c r="F46" s="15">
        <f>Posyandu!G12+ Posyandu!H12</f>
        <v>28</v>
      </c>
      <c r="G46" s="14">
        <f>Posyandu!I12</f>
        <v>28</v>
      </c>
      <c r="H46" s="14">
        <f>Posyandu!J12</f>
        <v>60</v>
      </c>
    </row>
    <row r="47" spans="1:9" x14ac:dyDescent="0.3">
      <c r="A47" s="15" t="str">
        <f>Posyandu!K13</f>
        <v>KPM-POS-011</v>
      </c>
      <c r="B47" s="15" t="str">
        <f>Posyandu!C13</f>
        <v>Purba Sari</v>
      </c>
      <c r="C47" s="15">
        <f>Posyandu!E13</f>
        <v>25</v>
      </c>
      <c r="D47" s="15">
        <f>Posyandu!D13</f>
        <v>35</v>
      </c>
      <c r="E47" s="14">
        <f>Posyandu!F13</f>
        <v>60</v>
      </c>
      <c r="F47" s="15">
        <f>Posyandu!G13+ Posyandu!H13</f>
        <v>47</v>
      </c>
      <c r="G47" s="14">
        <f>Posyandu!I13</f>
        <v>47</v>
      </c>
      <c r="H47" s="14">
        <f>Posyandu!J13</f>
        <v>107</v>
      </c>
    </row>
    <row r="48" spans="1:9" x14ac:dyDescent="0.3">
      <c r="A48" s="15" t="str">
        <f>Posyandu!K14</f>
        <v>KPM-POS-012</v>
      </c>
      <c r="B48" s="15" t="str">
        <f>Posyandu!C14</f>
        <v>Purba Endah</v>
      </c>
      <c r="C48" s="15">
        <f>Posyandu!E14</f>
        <v>41</v>
      </c>
      <c r="D48" s="15">
        <f>Posyandu!D14</f>
        <v>40</v>
      </c>
      <c r="E48" s="14">
        <f>Posyandu!F14</f>
        <v>81</v>
      </c>
      <c r="F48" s="15">
        <f>Posyandu!G14+ Posyandu!H14</f>
        <v>49</v>
      </c>
      <c r="G48" s="14">
        <f>Posyandu!I14</f>
        <v>49</v>
      </c>
      <c r="H48" s="14">
        <f>Posyandu!J14</f>
        <v>130</v>
      </c>
    </row>
    <row r="49" spans="1:8" x14ac:dyDescent="0.3">
      <c r="A49" s="15" t="str">
        <f>Posyandu!K15</f>
        <v>KPM-POS-013</v>
      </c>
      <c r="B49" s="15" t="str">
        <f>Posyandu!C15</f>
        <v>Purba Jaya</v>
      </c>
      <c r="C49" s="15">
        <f>Posyandu!E15</f>
        <v>19</v>
      </c>
      <c r="D49" s="15">
        <f>Posyandu!D15</f>
        <v>24</v>
      </c>
      <c r="E49" s="14">
        <f>Posyandu!F15</f>
        <v>43</v>
      </c>
      <c r="F49" s="15">
        <f>Posyandu!G15+ Posyandu!H15</f>
        <v>30</v>
      </c>
      <c r="G49" s="14">
        <f>Posyandu!I15</f>
        <v>30</v>
      </c>
      <c r="H49" s="14">
        <f>Posyandu!J15</f>
        <v>73</v>
      </c>
    </row>
    <row r="50" spans="1:8" x14ac:dyDescent="0.3">
      <c r="A50" s="38" t="s">
        <v>10</v>
      </c>
      <c r="B50" s="38"/>
      <c r="C50" s="17">
        <f t="shared" ref="C50:H50" si="0">SUM(C37:C49)</f>
        <v>265</v>
      </c>
      <c r="D50" s="17">
        <f t="shared" si="0"/>
        <v>263</v>
      </c>
      <c r="E50" s="14">
        <f t="shared" si="0"/>
        <v>528</v>
      </c>
      <c r="F50" s="17">
        <f t="shared" si="0"/>
        <v>389</v>
      </c>
      <c r="G50" s="14">
        <f t="shared" si="0"/>
        <v>389</v>
      </c>
      <c r="H50" s="14">
        <f t="shared" si="0"/>
        <v>917</v>
      </c>
    </row>
  </sheetData>
  <mergeCells count="5">
    <mergeCell ref="A1:I1"/>
    <mergeCell ref="A33:B33"/>
    <mergeCell ref="A50:B50"/>
    <mergeCell ref="A3:I3"/>
    <mergeCell ref="A35:H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showGridLines="0" tabSelected="1" zoomScale="90" zoomScaleNormal="90" workbookViewId="0">
      <pane ySplit="2" topLeftCell="A9" activePane="bottomLeft" state="frozen"/>
      <selection pane="bottomLeft" activeCell="I21" sqref="I21"/>
    </sheetView>
  </sheetViews>
  <sheetFormatPr defaultRowHeight="14.4" x14ac:dyDescent="0.3"/>
  <cols>
    <col min="1" max="1" width="4.33203125" customWidth="1"/>
    <col min="2" max="2" width="25.88671875" customWidth="1"/>
    <col min="3" max="3" width="29.88671875" customWidth="1"/>
    <col min="4" max="4" width="8.88671875" customWidth="1"/>
    <col min="6" max="6" width="12.33203125" customWidth="1"/>
    <col min="7" max="7" width="8.88671875" customWidth="1"/>
    <col min="9" max="9" width="12.21875" customWidth="1"/>
    <col min="10" max="10" width="10.77734375" customWidth="1"/>
    <col min="11" max="11" width="8.88671875" customWidth="1"/>
    <col min="13" max="13" width="10.109375" customWidth="1"/>
    <col min="14" max="14" width="8.88671875" customWidth="1"/>
    <col min="16" max="16" width="11.21875" customWidth="1"/>
    <col min="17" max="17" width="11.5546875" customWidth="1"/>
    <col min="18" max="18" width="14.109375" customWidth="1"/>
    <col min="19" max="19" width="18" customWidth="1"/>
  </cols>
  <sheetData>
    <row r="1" spans="1:19" x14ac:dyDescent="0.3">
      <c r="A1" s="34" t="s">
        <v>12</v>
      </c>
      <c r="B1" s="32" t="s">
        <v>13</v>
      </c>
      <c r="C1" s="24" t="s">
        <v>14</v>
      </c>
      <c r="D1" s="36" t="s">
        <v>15</v>
      </c>
      <c r="E1" s="25"/>
      <c r="F1" s="26"/>
      <c r="G1" s="37" t="s">
        <v>16</v>
      </c>
      <c r="H1" s="25"/>
      <c r="I1" s="26"/>
      <c r="J1" s="23" t="s">
        <v>17</v>
      </c>
      <c r="K1" s="33" t="s">
        <v>18</v>
      </c>
      <c r="L1" s="30"/>
      <c r="M1" s="31"/>
      <c r="N1" s="29" t="s">
        <v>19</v>
      </c>
      <c r="O1" s="30"/>
      <c r="P1" s="31"/>
      <c r="Q1" s="28" t="s">
        <v>20</v>
      </c>
      <c r="R1" s="23" t="s">
        <v>21</v>
      </c>
      <c r="S1" s="28" t="s">
        <v>2</v>
      </c>
    </row>
    <row r="2" spans="1:19" ht="78" customHeight="1" x14ac:dyDescent="0.3">
      <c r="A2" s="35"/>
      <c r="B2" s="22"/>
      <c r="C2" s="22"/>
      <c r="D2" s="8" t="s">
        <v>22</v>
      </c>
      <c r="E2" s="8" t="s">
        <v>23</v>
      </c>
      <c r="F2" s="11" t="s">
        <v>24</v>
      </c>
      <c r="G2" s="8" t="s">
        <v>22</v>
      </c>
      <c r="H2" s="8" t="s">
        <v>23</v>
      </c>
      <c r="I2" s="11" t="s">
        <v>25</v>
      </c>
      <c r="J2" s="22"/>
      <c r="K2" s="8" t="s">
        <v>22</v>
      </c>
      <c r="L2" s="8" t="s">
        <v>23</v>
      </c>
      <c r="M2" s="11" t="s">
        <v>26</v>
      </c>
      <c r="N2" s="13" t="s">
        <v>22</v>
      </c>
      <c r="O2" s="13" t="s">
        <v>23</v>
      </c>
      <c r="P2" s="11" t="s">
        <v>27</v>
      </c>
      <c r="Q2" s="22"/>
      <c r="R2" s="22"/>
      <c r="S2" s="22"/>
    </row>
    <row r="3" spans="1:19" x14ac:dyDescent="0.3">
      <c r="A3" s="5">
        <v>1</v>
      </c>
      <c r="B3" s="21" t="s">
        <v>28</v>
      </c>
      <c r="C3" s="7" t="s">
        <v>29</v>
      </c>
      <c r="D3" s="5">
        <v>18</v>
      </c>
      <c r="E3" s="5">
        <v>24</v>
      </c>
      <c r="F3" s="6">
        <f t="shared" ref="F3:F26" si="0">SUM(D3:E3)</f>
        <v>42</v>
      </c>
      <c r="G3" s="12"/>
      <c r="H3" s="12"/>
      <c r="I3" s="12"/>
      <c r="J3" s="9">
        <f t="shared" ref="J3:J15" si="1">F3</f>
        <v>42</v>
      </c>
      <c r="K3" s="5">
        <v>3</v>
      </c>
      <c r="L3" s="5"/>
      <c r="M3" s="6">
        <f t="shared" ref="M3:M30" si="2">SUM(K3:L3)</f>
        <v>3</v>
      </c>
      <c r="N3" s="12"/>
      <c r="O3" s="5">
        <v>1</v>
      </c>
      <c r="P3" s="6">
        <f t="shared" ref="P3:P30" si="3">SUM(N3:O3)</f>
        <v>1</v>
      </c>
      <c r="Q3" s="6">
        <f t="shared" ref="Q3:Q30" si="4">SUM(M3+P3)</f>
        <v>4</v>
      </c>
      <c r="R3" s="9">
        <f t="shared" ref="R3:R30" si="5">SUM(J3+Q3)</f>
        <v>46</v>
      </c>
      <c r="S3" s="16" t="s">
        <v>30</v>
      </c>
    </row>
    <row r="4" spans="1:19" x14ac:dyDescent="0.3">
      <c r="A4" s="5">
        <v>2</v>
      </c>
      <c r="B4" s="27"/>
      <c r="C4" s="7" t="s">
        <v>31</v>
      </c>
      <c r="D4" s="5">
        <v>19</v>
      </c>
      <c r="E4" s="5">
        <v>20</v>
      </c>
      <c r="F4" s="6">
        <f t="shared" si="0"/>
        <v>39</v>
      </c>
      <c r="G4" s="12"/>
      <c r="H4" s="12"/>
      <c r="I4" s="12"/>
      <c r="J4" s="9">
        <f t="shared" si="1"/>
        <v>39</v>
      </c>
      <c r="K4" s="5">
        <v>3</v>
      </c>
      <c r="L4" s="5">
        <v>1</v>
      </c>
      <c r="M4" s="6">
        <f t="shared" si="2"/>
        <v>4</v>
      </c>
      <c r="N4" s="12"/>
      <c r="O4" s="5">
        <v>1</v>
      </c>
      <c r="P4" s="6">
        <f t="shared" si="3"/>
        <v>1</v>
      </c>
      <c r="Q4" s="6">
        <f t="shared" si="4"/>
        <v>5</v>
      </c>
      <c r="R4" s="9">
        <f t="shared" si="5"/>
        <v>44</v>
      </c>
      <c r="S4" s="16" t="s">
        <v>32</v>
      </c>
    </row>
    <row r="5" spans="1:19" x14ac:dyDescent="0.3">
      <c r="A5" s="5">
        <v>3</v>
      </c>
      <c r="B5" s="27"/>
      <c r="C5" s="7" t="s">
        <v>33</v>
      </c>
      <c r="D5" s="5">
        <v>26</v>
      </c>
      <c r="E5" s="5">
        <v>32</v>
      </c>
      <c r="F5" s="6">
        <f t="shared" si="0"/>
        <v>58</v>
      </c>
      <c r="G5" s="12"/>
      <c r="H5" s="12"/>
      <c r="I5" s="12"/>
      <c r="J5" s="9">
        <f t="shared" si="1"/>
        <v>58</v>
      </c>
      <c r="K5" s="5">
        <v>5</v>
      </c>
      <c r="L5" s="12"/>
      <c r="M5" s="6">
        <f t="shared" si="2"/>
        <v>5</v>
      </c>
      <c r="N5" s="12"/>
      <c r="O5" s="5">
        <v>1</v>
      </c>
      <c r="P5" s="6">
        <f t="shared" si="3"/>
        <v>1</v>
      </c>
      <c r="Q5" s="6">
        <f t="shared" si="4"/>
        <v>6</v>
      </c>
      <c r="R5" s="9">
        <f t="shared" si="5"/>
        <v>64</v>
      </c>
      <c r="S5" s="16" t="s">
        <v>34</v>
      </c>
    </row>
    <row r="6" spans="1:19" x14ac:dyDescent="0.3">
      <c r="A6" s="5">
        <v>4</v>
      </c>
      <c r="B6" s="27"/>
      <c r="C6" s="7" t="s">
        <v>35</v>
      </c>
      <c r="D6" s="5">
        <v>10</v>
      </c>
      <c r="E6" s="5">
        <v>7</v>
      </c>
      <c r="F6" s="6">
        <f t="shared" si="0"/>
        <v>17</v>
      </c>
      <c r="G6" s="12"/>
      <c r="H6" s="12"/>
      <c r="I6" s="12"/>
      <c r="J6" s="9">
        <f t="shared" si="1"/>
        <v>17</v>
      </c>
      <c r="K6" s="5">
        <v>4</v>
      </c>
      <c r="L6" s="12"/>
      <c r="M6" s="6">
        <f t="shared" si="2"/>
        <v>4</v>
      </c>
      <c r="N6" s="12"/>
      <c r="O6" s="5">
        <v>1</v>
      </c>
      <c r="P6" s="6">
        <f t="shared" si="3"/>
        <v>1</v>
      </c>
      <c r="Q6" s="6">
        <f t="shared" si="4"/>
        <v>5</v>
      </c>
      <c r="R6" s="9">
        <f t="shared" si="5"/>
        <v>22</v>
      </c>
      <c r="S6" s="16" t="s">
        <v>36</v>
      </c>
    </row>
    <row r="7" spans="1:19" x14ac:dyDescent="0.3">
      <c r="A7" s="5">
        <v>5</v>
      </c>
      <c r="B7" s="27"/>
      <c r="C7" s="7" t="s">
        <v>37</v>
      </c>
      <c r="D7" s="5">
        <v>17</v>
      </c>
      <c r="E7" s="5">
        <v>18</v>
      </c>
      <c r="F7" s="6">
        <f t="shared" si="0"/>
        <v>35</v>
      </c>
      <c r="G7" s="12"/>
      <c r="H7" s="12"/>
      <c r="I7" s="12"/>
      <c r="J7" s="9">
        <f t="shared" si="1"/>
        <v>35</v>
      </c>
      <c r="K7" s="5">
        <v>4</v>
      </c>
      <c r="L7" s="12"/>
      <c r="M7" s="6">
        <f t="shared" si="2"/>
        <v>4</v>
      </c>
      <c r="N7" s="5">
        <v>1</v>
      </c>
      <c r="O7" s="5"/>
      <c r="P7" s="6">
        <f t="shared" si="3"/>
        <v>1</v>
      </c>
      <c r="Q7" s="6">
        <f t="shared" si="4"/>
        <v>5</v>
      </c>
      <c r="R7" s="9">
        <f t="shared" si="5"/>
        <v>40</v>
      </c>
      <c r="S7" s="16" t="s">
        <v>38</v>
      </c>
    </row>
    <row r="8" spans="1:19" x14ac:dyDescent="0.3">
      <c r="A8" s="5">
        <v>6</v>
      </c>
      <c r="B8" s="27"/>
      <c r="C8" s="7" t="s">
        <v>39</v>
      </c>
      <c r="D8" s="5">
        <v>12</v>
      </c>
      <c r="E8" s="5">
        <v>18</v>
      </c>
      <c r="F8" s="6">
        <f t="shared" si="0"/>
        <v>30</v>
      </c>
      <c r="G8" s="12"/>
      <c r="H8" s="12"/>
      <c r="I8" s="12"/>
      <c r="J8" s="9">
        <f t="shared" si="1"/>
        <v>30</v>
      </c>
      <c r="K8" s="5">
        <v>3</v>
      </c>
      <c r="L8" s="12"/>
      <c r="M8" s="6">
        <f t="shared" si="2"/>
        <v>3</v>
      </c>
      <c r="N8" s="12"/>
      <c r="O8" s="5">
        <v>2</v>
      </c>
      <c r="P8" s="6">
        <f t="shared" si="3"/>
        <v>2</v>
      </c>
      <c r="Q8" s="6">
        <f t="shared" si="4"/>
        <v>5</v>
      </c>
      <c r="R8" s="9">
        <f t="shared" si="5"/>
        <v>35</v>
      </c>
      <c r="S8" s="16" t="s">
        <v>40</v>
      </c>
    </row>
    <row r="9" spans="1:19" x14ac:dyDescent="0.3">
      <c r="A9" s="5">
        <v>7</v>
      </c>
      <c r="B9" s="27"/>
      <c r="C9" s="7" t="s">
        <v>41</v>
      </c>
      <c r="D9" s="5">
        <v>9</v>
      </c>
      <c r="E9" s="5">
        <v>11</v>
      </c>
      <c r="F9" s="6">
        <f t="shared" si="0"/>
        <v>20</v>
      </c>
      <c r="G9" s="12"/>
      <c r="H9" s="12"/>
      <c r="I9" s="12"/>
      <c r="J9" s="9">
        <f t="shared" si="1"/>
        <v>20</v>
      </c>
      <c r="K9" s="5">
        <v>4</v>
      </c>
      <c r="L9" s="12"/>
      <c r="M9" s="6">
        <f t="shared" si="2"/>
        <v>4</v>
      </c>
      <c r="N9" s="12"/>
      <c r="O9" s="12"/>
      <c r="P9" s="6">
        <f t="shared" si="3"/>
        <v>0</v>
      </c>
      <c r="Q9" s="6">
        <f t="shared" si="4"/>
        <v>4</v>
      </c>
      <c r="R9" s="9">
        <f t="shared" si="5"/>
        <v>24</v>
      </c>
      <c r="S9" s="16" t="s">
        <v>42</v>
      </c>
    </row>
    <row r="10" spans="1:19" x14ac:dyDescent="0.3">
      <c r="A10" s="5">
        <v>8</v>
      </c>
      <c r="B10" s="27"/>
      <c r="C10" s="7" t="s">
        <v>43</v>
      </c>
      <c r="D10" s="5">
        <v>23</v>
      </c>
      <c r="E10" s="5">
        <v>28</v>
      </c>
      <c r="F10" s="6">
        <f t="shared" si="0"/>
        <v>51</v>
      </c>
      <c r="G10" s="12"/>
      <c r="H10" s="12"/>
      <c r="I10" s="12"/>
      <c r="J10" s="9">
        <f t="shared" si="1"/>
        <v>51</v>
      </c>
      <c r="K10" s="5">
        <v>5</v>
      </c>
      <c r="L10" s="12"/>
      <c r="M10" s="6">
        <f t="shared" si="2"/>
        <v>5</v>
      </c>
      <c r="N10" s="12"/>
      <c r="O10" s="12"/>
      <c r="P10" s="6">
        <f t="shared" si="3"/>
        <v>0</v>
      </c>
      <c r="Q10" s="6">
        <f t="shared" si="4"/>
        <v>5</v>
      </c>
      <c r="R10" s="9">
        <f t="shared" si="5"/>
        <v>56</v>
      </c>
      <c r="S10" s="16" t="s">
        <v>44</v>
      </c>
    </row>
    <row r="11" spans="1:19" x14ac:dyDescent="0.3">
      <c r="A11" s="5">
        <v>9</v>
      </c>
      <c r="B11" s="27"/>
      <c r="C11" s="7" t="s">
        <v>45</v>
      </c>
      <c r="D11" s="5">
        <v>15</v>
      </c>
      <c r="E11" s="5">
        <v>20</v>
      </c>
      <c r="F11" s="6">
        <f t="shared" si="0"/>
        <v>35</v>
      </c>
      <c r="G11" s="12"/>
      <c r="H11" s="12"/>
      <c r="I11" s="12"/>
      <c r="J11" s="9">
        <f t="shared" si="1"/>
        <v>35</v>
      </c>
      <c r="K11" s="5">
        <v>4</v>
      </c>
      <c r="L11" s="12"/>
      <c r="M11" s="6">
        <f t="shared" si="2"/>
        <v>4</v>
      </c>
      <c r="N11" s="5">
        <v>2</v>
      </c>
      <c r="O11" s="5"/>
      <c r="P11" s="6">
        <f t="shared" si="3"/>
        <v>2</v>
      </c>
      <c r="Q11" s="6">
        <f t="shared" si="4"/>
        <v>6</v>
      </c>
      <c r="R11" s="9">
        <f t="shared" si="5"/>
        <v>41</v>
      </c>
      <c r="S11" s="16" t="s">
        <v>46</v>
      </c>
    </row>
    <row r="12" spans="1:19" x14ac:dyDescent="0.3">
      <c r="A12" s="5">
        <v>10</v>
      </c>
      <c r="B12" s="27"/>
      <c r="C12" s="7" t="s">
        <v>47</v>
      </c>
      <c r="D12" s="5">
        <v>22</v>
      </c>
      <c r="E12" s="5">
        <v>18</v>
      </c>
      <c r="F12" s="6">
        <f t="shared" si="0"/>
        <v>40</v>
      </c>
      <c r="G12" s="12"/>
      <c r="H12" s="12"/>
      <c r="I12" s="12"/>
      <c r="J12" s="9">
        <f t="shared" si="1"/>
        <v>40</v>
      </c>
      <c r="K12" s="5">
        <v>4</v>
      </c>
      <c r="L12" s="12"/>
      <c r="M12" s="6">
        <f t="shared" si="2"/>
        <v>4</v>
      </c>
      <c r="N12" s="5">
        <v>1</v>
      </c>
      <c r="O12" s="5">
        <v>1</v>
      </c>
      <c r="P12" s="6">
        <f t="shared" si="3"/>
        <v>2</v>
      </c>
      <c r="Q12" s="6">
        <f t="shared" si="4"/>
        <v>6</v>
      </c>
      <c r="R12" s="9">
        <f t="shared" si="5"/>
        <v>46</v>
      </c>
      <c r="S12" s="16" t="s">
        <v>48</v>
      </c>
    </row>
    <row r="13" spans="1:19" x14ac:dyDescent="0.3">
      <c r="A13" s="5">
        <v>11</v>
      </c>
      <c r="B13" s="27"/>
      <c r="C13" s="7" t="s">
        <v>49</v>
      </c>
      <c r="D13" s="5">
        <v>43</v>
      </c>
      <c r="E13" s="5">
        <v>37</v>
      </c>
      <c r="F13" s="6">
        <f t="shared" si="0"/>
        <v>80</v>
      </c>
      <c r="G13" s="12"/>
      <c r="H13" s="12"/>
      <c r="I13" s="12"/>
      <c r="J13" s="9">
        <f t="shared" si="1"/>
        <v>80</v>
      </c>
      <c r="K13" s="5">
        <v>5</v>
      </c>
      <c r="L13" s="12"/>
      <c r="M13" s="6">
        <f t="shared" si="2"/>
        <v>5</v>
      </c>
      <c r="N13" s="5">
        <v>2</v>
      </c>
      <c r="O13" s="12"/>
      <c r="P13" s="6">
        <f t="shared" si="3"/>
        <v>2</v>
      </c>
      <c r="Q13" s="6">
        <f t="shared" si="4"/>
        <v>7</v>
      </c>
      <c r="R13" s="9">
        <f t="shared" si="5"/>
        <v>87</v>
      </c>
      <c r="S13" s="16" t="s">
        <v>50</v>
      </c>
    </row>
    <row r="14" spans="1:19" x14ac:dyDescent="0.3">
      <c r="A14" s="5">
        <v>12</v>
      </c>
      <c r="B14" s="27"/>
      <c r="C14" s="7" t="s">
        <v>51</v>
      </c>
      <c r="D14" s="42">
        <v>10</v>
      </c>
      <c r="E14" s="42">
        <v>13</v>
      </c>
      <c r="F14" s="6">
        <f t="shared" si="0"/>
        <v>23</v>
      </c>
      <c r="G14" s="12"/>
      <c r="H14" s="12"/>
      <c r="I14" s="12"/>
      <c r="J14" s="9">
        <f t="shared" si="1"/>
        <v>23</v>
      </c>
      <c r="K14" s="5">
        <v>4</v>
      </c>
      <c r="L14" s="12"/>
      <c r="M14" s="6">
        <f t="shared" si="2"/>
        <v>4</v>
      </c>
      <c r="N14" s="5">
        <v>1</v>
      </c>
      <c r="O14" s="12"/>
      <c r="P14" s="6">
        <f t="shared" si="3"/>
        <v>1</v>
      </c>
      <c r="Q14" s="6">
        <f t="shared" si="4"/>
        <v>5</v>
      </c>
      <c r="R14" s="9">
        <f t="shared" si="5"/>
        <v>28</v>
      </c>
      <c r="S14" s="16" t="s">
        <v>52</v>
      </c>
    </row>
    <row r="15" spans="1:19" x14ac:dyDescent="0.3">
      <c r="A15" s="5">
        <v>13</v>
      </c>
      <c r="B15" s="22"/>
      <c r="C15" s="7" t="s">
        <v>53</v>
      </c>
      <c r="D15" s="5">
        <v>13</v>
      </c>
      <c r="E15" s="5">
        <v>10</v>
      </c>
      <c r="F15" s="6">
        <f t="shared" si="0"/>
        <v>23</v>
      </c>
      <c r="G15" s="12"/>
      <c r="H15" s="12"/>
      <c r="I15" s="12"/>
      <c r="J15" s="9">
        <f t="shared" si="1"/>
        <v>23</v>
      </c>
      <c r="K15" s="5">
        <v>3</v>
      </c>
      <c r="L15" s="12"/>
      <c r="M15" s="6">
        <f t="shared" si="2"/>
        <v>3</v>
      </c>
      <c r="N15" s="5">
        <v>1</v>
      </c>
      <c r="O15" s="12"/>
      <c r="P15" s="6">
        <f t="shared" si="3"/>
        <v>1</v>
      </c>
      <c r="Q15" s="6">
        <f t="shared" si="4"/>
        <v>4</v>
      </c>
      <c r="R15" s="9">
        <f t="shared" si="5"/>
        <v>27</v>
      </c>
      <c r="S15" s="16" t="s">
        <v>54</v>
      </c>
    </row>
    <row r="16" spans="1:19" x14ac:dyDescent="0.3">
      <c r="A16" s="5">
        <v>14</v>
      </c>
      <c r="B16" s="21" t="s">
        <v>55</v>
      </c>
      <c r="C16" s="7" t="s">
        <v>56</v>
      </c>
      <c r="D16" s="5">
        <v>41</v>
      </c>
      <c r="E16" s="5">
        <v>45</v>
      </c>
      <c r="F16" s="6">
        <f t="shared" si="0"/>
        <v>86</v>
      </c>
      <c r="G16" s="5">
        <v>22</v>
      </c>
      <c r="H16" s="5">
        <v>34</v>
      </c>
      <c r="I16" s="6">
        <f t="shared" ref="I16:I30" si="6">SUM(G16:H16)</f>
        <v>56</v>
      </c>
      <c r="J16" s="9">
        <f t="shared" ref="J16:J26" si="7">SUM(F16+I16)</f>
        <v>142</v>
      </c>
      <c r="K16" s="5">
        <v>9</v>
      </c>
      <c r="L16" s="5">
        <v>4</v>
      </c>
      <c r="M16" s="6">
        <f t="shared" si="2"/>
        <v>13</v>
      </c>
      <c r="N16" s="5"/>
      <c r="O16" s="5">
        <v>4</v>
      </c>
      <c r="P16" s="6">
        <f t="shared" si="3"/>
        <v>4</v>
      </c>
      <c r="Q16" s="6">
        <f t="shared" si="4"/>
        <v>17</v>
      </c>
      <c r="R16" s="9">
        <f t="shared" si="5"/>
        <v>159</v>
      </c>
      <c r="S16" s="16" t="s">
        <v>57</v>
      </c>
    </row>
    <row r="17" spans="1:19" x14ac:dyDescent="0.3">
      <c r="A17" s="5">
        <v>15</v>
      </c>
      <c r="B17" s="27"/>
      <c r="C17" s="7" t="s">
        <v>58</v>
      </c>
      <c r="D17" s="5">
        <v>29</v>
      </c>
      <c r="E17" s="5">
        <v>37</v>
      </c>
      <c r="F17" s="6">
        <f t="shared" si="0"/>
        <v>66</v>
      </c>
      <c r="G17" s="5">
        <v>17</v>
      </c>
      <c r="H17" s="5">
        <v>32</v>
      </c>
      <c r="I17" s="6">
        <f t="shared" si="6"/>
        <v>49</v>
      </c>
      <c r="J17" s="9">
        <f t="shared" si="7"/>
        <v>115</v>
      </c>
      <c r="K17" s="5">
        <v>5</v>
      </c>
      <c r="L17" s="5">
        <v>2</v>
      </c>
      <c r="M17" s="6">
        <f t="shared" si="2"/>
        <v>7</v>
      </c>
      <c r="N17" s="5">
        <v>1</v>
      </c>
      <c r="O17" s="5"/>
      <c r="P17" s="6">
        <f t="shared" si="3"/>
        <v>1</v>
      </c>
      <c r="Q17" s="6">
        <f t="shared" si="4"/>
        <v>8</v>
      </c>
      <c r="R17" s="9">
        <f t="shared" si="5"/>
        <v>123</v>
      </c>
      <c r="S17" s="16" t="s">
        <v>59</v>
      </c>
    </row>
    <row r="18" spans="1:19" x14ac:dyDescent="0.3">
      <c r="A18" s="5">
        <v>16</v>
      </c>
      <c r="B18" s="27"/>
      <c r="C18" s="7" t="s">
        <v>60</v>
      </c>
      <c r="D18" s="5">
        <v>14</v>
      </c>
      <c r="E18" s="5">
        <v>16</v>
      </c>
      <c r="F18" s="6">
        <f t="shared" si="0"/>
        <v>30</v>
      </c>
      <c r="G18" s="5">
        <v>15</v>
      </c>
      <c r="H18" s="5">
        <v>26</v>
      </c>
      <c r="I18" s="6">
        <f t="shared" si="6"/>
        <v>41</v>
      </c>
      <c r="J18" s="9">
        <f t="shared" si="7"/>
        <v>71</v>
      </c>
      <c r="K18" s="5">
        <v>10</v>
      </c>
      <c r="L18" s="5"/>
      <c r="M18" s="6">
        <f t="shared" si="2"/>
        <v>10</v>
      </c>
      <c r="N18" s="5"/>
      <c r="O18" s="5"/>
      <c r="P18" s="6">
        <f t="shared" si="3"/>
        <v>0</v>
      </c>
      <c r="Q18" s="6">
        <f t="shared" si="4"/>
        <v>10</v>
      </c>
      <c r="R18" s="9">
        <f t="shared" si="5"/>
        <v>81</v>
      </c>
      <c r="S18" s="16" t="s">
        <v>61</v>
      </c>
    </row>
    <row r="19" spans="1:19" x14ac:dyDescent="0.3">
      <c r="A19" s="5">
        <v>17</v>
      </c>
      <c r="B19" s="27"/>
      <c r="C19" s="7" t="s">
        <v>62</v>
      </c>
      <c r="D19" s="5">
        <v>27</v>
      </c>
      <c r="E19" s="5">
        <v>38</v>
      </c>
      <c r="F19" s="6">
        <f t="shared" si="0"/>
        <v>65</v>
      </c>
      <c r="G19" s="5">
        <v>43</v>
      </c>
      <c r="H19" s="5">
        <v>40</v>
      </c>
      <c r="I19" s="6">
        <f t="shared" si="6"/>
        <v>83</v>
      </c>
      <c r="J19" s="9">
        <f t="shared" si="7"/>
        <v>148</v>
      </c>
      <c r="K19" s="5">
        <v>6</v>
      </c>
      <c r="L19" s="5">
        <v>2</v>
      </c>
      <c r="M19" s="6">
        <f t="shared" si="2"/>
        <v>8</v>
      </c>
      <c r="N19" s="5">
        <v>2</v>
      </c>
      <c r="O19" s="5">
        <v>1</v>
      </c>
      <c r="P19" s="6">
        <f t="shared" si="3"/>
        <v>3</v>
      </c>
      <c r="Q19" s="6">
        <f t="shared" si="4"/>
        <v>11</v>
      </c>
      <c r="R19" s="9">
        <f t="shared" si="5"/>
        <v>159</v>
      </c>
      <c r="S19" s="16" t="s">
        <v>63</v>
      </c>
    </row>
    <row r="20" spans="1:19" x14ac:dyDescent="0.3">
      <c r="A20" s="5">
        <v>18</v>
      </c>
      <c r="B20" s="27"/>
      <c r="C20" s="7" t="s">
        <v>64</v>
      </c>
      <c r="D20" s="5">
        <v>47</v>
      </c>
      <c r="E20" s="5">
        <v>53</v>
      </c>
      <c r="F20" s="6">
        <f t="shared" si="0"/>
        <v>100</v>
      </c>
      <c r="G20" s="5">
        <v>55</v>
      </c>
      <c r="H20" s="5">
        <v>46</v>
      </c>
      <c r="I20" s="6">
        <f t="shared" si="6"/>
        <v>101</v>
      </c>
      <c r="J20" s="9">
        <f t="shared" si="7"/>
        <v>201</v>
      </c>
      <c r="K20" s="5">
        <v>4</v>
      </c>
      <c r="L20" s="5">
        <v>4</v>
      </c>
      <c r="M20" s="6">
        <f t="shared" si="2"/>
        <v>8</v>
      </c>
      <c r="N20" s="12"/>
      <c r="O20" s="5">
        <v>1</v>
      </c>
      <c r="P20" s="6">
        <f t="shared" si="3"/>
        <v>1</v>
      </c>
      <c r="Q20" s="6">
        <f t="shared" si="4"/>
        <v>9</v>
      </c>
      <c r="R20" s="9">
        <f t="shared" si="5"/>
        <v>210</v>
      </c>
      <c r="S20" s="16" t="s">
        <v>65</v>
      </c>
    </row>
    <row r="21" spans="1:19" x14ac:dyDescent="0.3">
      <c r="A21" s="5">
        <v>19</v>
      </c>
      <c r="B21" s="27"/>
      <c r="C21" s="7" t="s">
        <v>66</v>
      </c>
      <c r="D21" s="5">
        <v>66</v>
      </c>
      <c r="E21" s="5">
        <v>69</v>
      </c>
      <c r="F21" s="6">
        <f t="shared" si="0"/>
        <v>135</v>
      </c>
      <c r="G21" s="5">
        <v>68</v>
      </c>
      <c r="H21" s="5">
        <v>58</v>
      </c>
      <c r="I21" s="6">
        <f t="shared" si="6"/>
        <v>126</v>
      </c>
      <c r="J21" s="9">
        <f t="shared" si="7"/>
        <v>261</v>
      </c>
      <c r="K21" s="5">
        <v>6</v>
      </c>
      <c r="L21" s="5">
        <v>3</v>
      </c>
      <c r="M21" s="6">
        <f t="shared" si="2"/>
        <v>9</v>
      </c>
      <c r="N21" s="12"/>
      <c r="O21" s="12"/>
      <c r="P21" s="6">
        <f t="shared" si="3"/>
        <v>0</v>
      </c>
      <c r="Q21" s="6">
        <f t="shared" si="4"/>
        <v>9</v>
      </c>
      <c r="R21" s="9">
        <f t="shared" si="5"/>
        <v>270</v>
      </c>
      <c r="S21" s="16" t="s">
        <v>67</v>
      </c>
    </row>
    <row r="22" spans="1:19" x14ac:dyDescent="0.3">
      <c r="A22" s="5">
        <v>20</v>
      </c>
      <c r="B22" s="27"/>
      <c r="C22" s="7" t="s">
        <v>68</v>
      </c>
      <c r="D22" s="5">
        <v>35</v>
      </c>
      <c r="E22" s="5">
        <v>36</v>
      </c>
      <c r="F22" s="6">
        <f t="shared" si="0"/>
        <v>71</v>
      </c>
      <c r="G22" s="5">
        <v>32</v>
      </c>
      <c r="H22" s="5">
        <v>33</v>
      </c>
      <c r="I22" s="6">
        <f t="shared" si="6"/>
        <v>65</v>
      </c>
      <c r="J22" s="9">
        <f t="shared" si="7"/>
        <v>136</v>
      </c>
      <c r="K22" s="5">
        <v>4</v>
      </c>
      <c r="L22" s="5">
        <v>2</v>
      </c>
      <c r="M22" s="6">
        <f t="shared" si="2"/>
        <v>6</v>
      </c>
      <c r="N22" s="12"/>
      <c r="O22" s="12"/>
      <c r="P22" s="6">
        <f t="shared" si="3"/>
        <v>0</v>
      </c>
      <c r="Q22" s="6">
        <f t="shared" si="4"/>
        <v>6</v>
      </c>
      <c r="R22" s="9">
        <f t="shared" si="5"/>
        <v>142</v>
      </c>
      <c r="S22" s="16" t="s">
        <v>69</v>
      </c>
    </row>
    <row r="23" spans="1:19" x14ac:dyDescent="0.3">
      <c r="A23" s="5">
        <v>21</v>
      </c>
      <c r="B23" s="27"/>
      <c r="C23" s="7" t="s">
        <v>70</v>
      </c>
      <c r="D23" s="5">
        <v>7</v>
      </c>
      <c r="E23" s="5">
        <v>7</v>
      </c>
      <c r="F23" s="6">
        <f t="shared" si="0"/>
        <v>14</v>
      </c>
      <c r="G23" s="5">
        <v>9</v>
      </c>
      <c r="H23" s="5">
        <v>13</v>
      </c>
      <c r="I23" s="6">
        <f t="shared" si="6"/>
        <v>22</v>
      </c>
      <c r="J23" s="9">
        <f t="shared" si="7"/>
        <v>36</v>
      </c>
      <c r="K23" s="5">
        <v>2</v>
      </c>
      <c r="L23" s="5">
        <v>2</v>
      </c>
      <c r="M23" s="6">
        <f t="shared" si="2"/>
        <v>4</v>
      </c>
      <c r="N23" s="5">
        <v>2</v>
      </c>
      <c r="O23" s="5">
        <v>3</v>
      </c>
      <c r="P23" s="6">
        <f t="shared" si="3"/>
        <v>5</v>
      </c>
      <c r="Q23" s="6">
        <f t="shared" si="4"/>
        <v>9</v>
      </c>
      <c r="R23" s="9">
        <f t="shared" si="5"/>
        <v>45</v>
      </c>
      <c r="S23" s="16" t="s">
        <v>71</v>
      </c>
    </row>
    <row r="24" spans="1:19" x14ac:dyDescent="0.3">
      <c r="A24" s="5">
        <v>22</v>
      </c>
      <c r="B24" s="27"/>
      <c r="C24" s="7" t="s">
        <v>72</v>
      </c>
      <c r="D24" s="5">
        <v>38</v>
      </c>
      <c r="E24" s="5">
        <v>43</v>
      </c>
      <c r="F24" s="6">
        <f t="shared" si="0"/>
        <v>81</v>
      </c>
      <c r="G24" s="5">
        <v>30</v>
      </c>
      <c r="H24" s="5">
        <v>37</v>
      </c>
      <c r="I24" s="6">
        <f t="shared" si="6"/>
        <v>67</v>
      </c>
      <c r="J24" s="9">
        <f t="shared" si="7"/>
        <v>148</v>
      </c>
      <c r="K24" s="5">
        <v>4</v>
      </c>
      <c r="L24" s="5">
        <v>4</v>
      </c>
      <c r="M24" s="6">
        <f t="shared" si="2"/>
        <v>8</v>
      </c>
      <c r="N24" s="12"/>
      <c r="O24" s="5">
        <v>1</v>
      </c>
      <c r="P24" s="6">
        <f t="shared" si="3"/>
        <v>1</v>
      </c>
      <c r="Q24" s="6">
        <f t="shared" si="4"/>
        <v>9</v>
      </c>
      <c r="R24" s="9">
        <f t="shared" si="5"/>
        <v>157</v>
      </c>
      <c r="S24" s="16" t="s">
        <v>73</v>
      </c>
    </row>
    <row r="25" spans="1:19" x14ac:dyDescent="0.3">
      <c r="A25" s="5">
        <v>23</v>
      </c>
      <c r="B25" s="27"/>
      <c r="C25" s="7" t="s">
        <v>74</v>
      </c>
      <c r="D25" s="5">
        <v>21</v>
      </c>
      <c r="E25" s="5">
        <v>19</v>
      </c>
      <c r="F25" s="6">
        <f t="shared" si="0"/>
        <v>40</v>
      </c>
      <c r="G25" s="5">
        <v>21</v>
      </c>
      <c r="H25" s="5">
        <v>23</v>
      </c>
      <c r="I25" s="6">
        <f t="shared" si="6"/>
        <v>44</v>
      </c>
      <c r="J25" s="9">
        <f t="shared" si="7"/>
        <v>84</v>
      </c>
      <c r="K25" s="5">
        <v>5</v>
      </c>
      <c r="L25" s="5">
        <v>2</v>
      </c>
      <c r="M25" s="6">
        <f t="shared" si="2"/>
        <v>7</v>
      </c>
      <c r="N25" s="12"/>
      <c r="O25" s="5">
        <v>1</v>
      </c>
      <c r="P25" s="6">
        <f t="shared" si="3"/>
        <v>1</v>
      </c>
      <c r="Q25" s="6">
        <f t="shared" si="4"/>
        <v>8</v>
      </c>
      <c r="R25" s="9">
        <f t="shared" si="5"/>
        <v>92</v>
      </c>
      <c r="S25" s="16" t="s">
        <v>75</v>
      </c>
    </row>
    <row r="26" spans="1:19" x14ac:dyDescent="0.3">
      <c r="A26" s="5">
        <v>24</v>
      </c>
      <c r="B26" s="22"/>
      <c r="C26" s="10" t="s">
        <v>76</v>
      </c>
      <c r="D26" s="5">
        <v>61</v>
      </c>
      <c r="E26" s="5">
        <v>62</v>
      </c>
      <c r="F26" s="6">
        <f t="shared" si="0"/>
        <v>123</v>
      </c>
      <c r="G26" s="5">
        <v>54</v>
      </c>
      <c r="H26" s="5">
        <v>52</v>
      </c>
      <c r="I26" s="6">
        <f t="shared" si="6"/>
        <v>106</v>
      </c>
      <c r="J26" s="9">
        <f t="shared" si="7"/>
        <v>229</v>
      </c>
      <c r="K26" s="5">
        <v>6</v>
      </c>
      <c r="L26" s="5">
        <v>3</v>
      </c>
      <c r="M26" s="6">
        <f t="shared" si="2"/>
        <v>9</v>
      </c>
      <c r="N26" s="5">
        <v>1</v>
      </c>
      <c r="O26" s="5">
        <v>2</v>
      </c>
      <c r="P26" s="6">
        <f t="shared" si="3"/>
        <v>3</v>
      </c>
      <c r="Q26" s="6">
        <f t="shared" si="4"/>
        <v>12</v>
      </c>
      <c r="R26" s="9">
        <f t="shared" si="5"/>
        <v>241</v>
      </c>
      <c r="S26" s="16" t="s">
        <v>77</v>
      </c>
    </row>
    <row r="27" spans="1:19" x14ac:dyDescent="0.3">
      <c r="A27" s="5">
        <v>25</v>
      </c>
      <c r="B27" s="21" t="s">
        <v>78</v>
      </c>
      <c r="C27" s="7" t="s">
        <v>79</v>
      </c>
      <c r="D27" s="12"/>
      <c r="E27" s="12"/>
      <c r="F27" s="12"/>
      <c r="G27" s="5">
        <v>57</v>
      </c>
      <c r="H27" s="5">
        <v>48</v>
      </c>
      <c r="I27" s="6">
        <f t="shared" si="6"/>
        <v>105</v>
      </c>
      <c r="J27" s="9">
        <f>I27</f>
        <v>105</v>
      </c>
      <c r="K27" s="5">
        <v>7</v>
      </c>
      <c r="L27" s="5">
        <v>13</v>
      </c>
      <c r="M27" s="6">
        <f t="shared" si="2"/>
        <v>20</v>
      </c>
      <c r="N27" s="5">
        <v>2</v>
      </c>
      <c r="O27" s="5">
        <v>3</v>
      </c>
      <c r="P27" s="6">
        <f t="shared" si="3"/>
        <v>5</v>
      </c>
      <c r="Q27" s="6">
        <f t="shared" si="4"/>
        <v>25</v>
      </c>
      <c r="R27" s="9">
        <f t="shared" si="5"/>
        <v>130</v>
      </c>
      <c r="S27" s="16" t="s">
        <v>80</v>
      </c>
    </row>
    <row r="28" spans="1:19" x14ac:dyDescent="0.3">
      <c r="A28" s="5">
        <v>26</v>
      </c>
      <c r="B28" s="22"/>
      <c r="C28" s="7" t="s">
        <v>81</v>
      </c>
      <c r="D28" s="12"/>
      <c r="E28" s="12"/>
      <c r="F28" s="12"/>
      <c r="G28" s="5">
        <v>37</v>
      </c>
      <c r="H28" s="5">
        <v>34</v>
      </c>
      <c r="I28" s="6">
        <f t="shared" si="6"/>
        <v>71</v>
      </c>
      <c r="J28" s="9">
        <f>I28</f>
        <v>71</v>
      </c>
      <c r="K28" s="5">
        <v>4</v>
      </c>
      <c r="L28" s="5">
        <v>9</v>
      </c>
      <c r="M28" s="6">
        <f t="shared" si="2"/>
        <v>13</v>
      </c>
      <c r="N28" s="5"/>
      <c r="O28" s="5">
        <v>5</v>
      </c>
      <c r="P28" s="6">
        <f t="shared" si="3"/>
        <v>5</v>
      </c>
      <c r="Q28" s="6">
        <f t="shared" si="4"/>
        <v>18</v>
      </c>
      <c r="R28" s="9">
        <f t="shared" si="5"/>
        <v>89</v>
      </c>
      <c r="S28" s="16" t="s">
        <v>82</v>
      </c>
    </row>
    <row r="29" spans="1:19" x14ac:dyDescent="0.3">
      <c r="A29" s="5">
        <v>27</v>
      </c>
      <c r="B29" s="21" t="s">
        <v>83</v>
      </c>
      <c r="C29" s="7" t="s">
        <v>84</v>
      </c>
      <c r="D29" s="12"/>
      <c r="E29" s="12"/>
      <c r="F29" s="12"/>
      <c r="G29" s="5">
        <v>46</v>
      </c>
      <c r="H29" s="5">
        <v>34</v>
      </c>
      <c r="I29" s="6">
        <f t="shared" si="6"/>
        <v>80</v>
      </c>
      <c r="J29" s="9">
        <f>I29</f>
        <v>80</v>
      </c>
      <c r="K29" s="5">
        <v>7</v>
      </c>
      <c r="L29" s="5">
        <v>13</v>
      </c>
      <c r="M29" s="6">
        <f t="shared" si="2"/>
        <v>20</v>
      </c>
      <c r="N29" s="5">
        <v>2</v>
      </c>
      <c r="O29" s="5">
        <v>2</v>
      </c>
      <c r="P29" s="6">
        <f t="shared" si="3"/>
        <v>4</v>
      </c>
      <c r="Q29" s="6">
        <f t="shared" si="4"/>
        <v>24</v>
      </c>
      <c r="R29" s="9">
        <f t="shared" si="5"/>
        <v>104</v>
      </c>
      <c r="S29" s="16" t="s">
        <v>85</v>
      </c>
    </row>
    <row r="30" spans="1:19" x14ac:dyDescent="0.3">
      <c r="A30" s="5">
        <v>28</v>
      </c>
      <c r="B30" s="22"/>
      <c r="C30" s="7" t="s">
        <v>86</v>
      </c>
      <c r="D30" s="12"/>
      <c r="E30" s="12"/>
      <c r="F30" s="12"/>
      <c r="G30" s="5">
        <v>42</v>
      </c>
      <c r="H30" s="5">
        <v>81</v>
      </c>
      <c r="I30" s="6">
        <f t="shared" si="6"/>
        <v>123</v>
      </c>
      <c r="J30" s="9">
        <f>I30</f>
        <v>123</v>
      </c>
      <c r="K30" s="5">
        <v>8</v>
      </c>
      <c r="L30" s="5">
        <v>8</v>
      </c>
      <c r="M30" s="6">
        <f t="shared" si="2"/>
        <v>16</v>
      </c>
      <c r="N30" s="5">
        <v>3</v>
      </c>
      <c r="O30" s="5">
        <v>4</v>
      </c>
      <c r="P30" s="6">
        <f t="shared" si="3"/>
        <v>7</v>
      </c>
      <c r="Q30" s="6">
        <f t="shared" si="4"/>
        <v>23</v>
      </c>
      <c r="R30" s="9">
        <f t="shared" si="5"/>
        <v>146</v>
      </c>
      <c r="S30" s="16" t="s">
        <v>121</v>
      </c>
    </row>
    <row r="31" spans="1:19" ht="15.6" customHeight="1" x14ac:dyDescent="0.3">
      <c r="A31" s="24" t="s">
        <v>10</v>
      </c>
      <c r="B31" s="25"/>
      <c r="C31" s="26"/>
      <c r="D31" s="8">
        <f>SUM(D3:D26)</f>
        <v>623</v>
      </c>
      <c r="E31" s="8">
        <f>SUM(E3:E26)</f>
        <v>681</v>
      </c>
      <c r="F31" s="6">
        <f>SUM(F3:F26)</f>
        <v>1304</v>
      </c>
      <c r="G31" s="8">
        <f>SUM(G16:G30)</f>
        <v>548</v>
      </c>
      <c r="H31" s="8">
        <f>SUM(H16:H30)</f>
        <v>591</v>
      </c>
      <c r="I31" s="6">
        <f>SUM(I16:I30)</f>
        <v>1139</v>
      </c>
      <c r="J31" s="1">
        <f t="shared" ref="J31:R31" si="8">SUM(J3:J30)</f>
        <v>2443</v>
      </c>
      <c r="K31" s="8">
        <f t="shared" si="8"/>
        <v>138</v>
      </c>
      <c r="L31" s="8">
        <f t="shared" si="8"/>
        <v>72</v>
      </c>
      <c r="M31" s="6">
        <f t="shared" si="8"/>
        <v>210</v>
      </c>
      <c r="N31" s="8">
        <f t="shared" si="8"/>
        <v>21</v>
      </c>
      <c r="O31" s="8">
        <f t="shared" si="8"/>
        <v>34</v>
      </c>
      <c r="P31" s="6">
        <f t="shared" si="8"/>
        <v>55</v>
      </c>
      <c r="Q31" s="6">
        <f t="shared" si="8"/>
        <v>265</v>
      </c>
      <c r="R31" s="2">
        <f t="shared" si="8"/>
        <v>2708</v>
      </c>
    </row>
  </sheetData>
  <mergeCells count="16">
    <mergeCell ref="B27:B28"/>
    <mergeCell ref="J1:J2"/>
    <mergeCell ref="A31:C31"/>
    <mergeCell ref="B16:B26"/>
    <mergeCell ref="S1:S2"/>
    <mergeCell ref="C1:C2"/>
    <mergeCell ref="N1:P1"/>
    <mergeCell ref="B1:B2"/>
    <mergeCell ref="B3:B15"/>
    <mergeCell ref="K1:M1"/>
    <mergeCell ref="R1:R2"/>
    <mergeCell ref="A1:A2"/>
    <mergeCell ref="D1:F1"/>
    <mergeCell ref="G1:I1"/>
    <mergeCell ref="B29:B30"/>
    <mergeCell ref="Q1:Q2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>
      <pane ySplit="2" topLeftCell="A3" activePane="bottomLeft" state="frozen"/>
      <selection pane="bottomLeft" activeCell="L18" sqref="L18"/>
    </sheetView>
  </sheetViews>
  <sheetFormatPr defaultRowHeight="14.4" x14ac:dyDescent="0.3"/>
  <cols>
    <col min="1" max="1" width="4.33203125" customWidth="1"/>
    <col min="2" max="2" width="25.88671875" customWidth="1"/>
    <col min="3" max="3" width="29.88671875" customWidth="1"/>
    <col min="4" max="4" width="8.88671875" customWidth="1"/>
    <col min="6" max="6" width="9.6640625" customWidth="1"/>
    <col min="7" max="7" width="8.88671875" customWidth="1"/>
    <col min="9" max="9" width="9.6640625" customWidth="1"/>
    <col min="10" max="10" width="10.6640625" customWidth="1"/>
    <col min="11" max="11" width="18" customWidth="1"/>
  </cols>
  <sheetData>
    <row r="1" spans="1:11" x14ac:dyDescent="0.3">
      <c r="A1" s="24" t="s">
        <v>12</v>
      </c>
      <c r="B1" s="32" t="s">
        <v>87</v>
      </c>
      <c r="C1" s="24" t="s">
        <v>88</v>
      </c>
      <c r="D1" s="24" t="s">
        <v>89</v>
      </c>
      <c r="E1" s="25"/>
      <c r="F1" s="26"/>
      <c r="G1" s="24" t="s">
        <v>90</v>
      </c>
      <c r="H1" s="25"/>
      <c r="I1" s="26"/>
      <c r="J1" s="23" t="s">
        <v>91</v>
      </c>
      <c r="K1" s="38" t="s">
        <v>2</v>
      </c>
    </row>
    <row r="2" spans="1:11" ht="41.4" customHeight="1" x14ac:dyDescent="0.3">
      <c r="A2" s="22"/>
      <c r="B2" s="22"/>
      <c r="C2" s="22"/>
      <c r="D2" s="13" t="s">
        <v>22</v>
      </c>
      <c r="E2" s="13" t="s">
        <v>23</v>
      </c>
      <c r="F2" s="11" t="s">
        <v>24</v>
      </c>
      <c r="G2" s="13" t="s">
        <v>92</v>
      </c>
      <c r="H2" s="13" t="s">
        <v>93</v>
      </c>
      <c r="I2" s="11" t="s">
        <v>25</v>
      </c>
      <c r="J2" s="22"/>
      <c r="K2" s="39"/>
    </row>
    <row r="3" spans="1:11" x14ac:dyDescent="0.3">
      <c r="A3" s="8">
        <v>1</v>
      </c>
      <c r="B3" s="32" t="s">
        <v>94</v>
      </c>
      <c r="C3" s="7" t="s">
        <v>95</v>
      </c>
      <c r="D3" s="5">
        <v>18</v>
      </c>
      <c r="E3" s="5">
        <v>26</v>
      </c>
      <c r="F3" s="6">
        <f>SUM(D3:E3)</f>
        <v>44</v>
      </c>
      <c r="G3" s="8">
        <v>6</v>
      </c>
      <c r="H3" s="8">
        <v>32</v>
      </c>
      <c r="I3" s="6">
        <f>SUM(G3:H3)</f>
        <v>38</v>
      </c>
      <c r="J3" s="9">
        <f>SUM(F3+I3)</f>
        <v>82</v>
      </c>
      <c r="K3" s="16" t="s">
        <v>96</v>
      </c>
    </row>
    <row r="4" spans="1:11" x14ac:dyDescent="0.3">
      <c r="A4" s="5">
        <v>2</v>
      </c>
      <c r="B4" s="27"/>
      <c r="C4" s="7" t="s">
        <v>97</v>
      </c>
      <c r="D4" s="5">
        <v>24</v>
      </c>
      <c r="E4" s="5">
        <v>29</v>
      </c>
      <c r="F4" s="6">
        <f t="shared" ref="F4:F15" si="0">SUM(D4:E4)</f>
        <v>53</v>
      </c>
      <c r="G4" s="5">
        <v>6</v>
      </c>
      <c r="H4" s="5">
        <v>38</v>
      </c>
      <c r="I4" s="6">
        <f t="shared" ref="I4:I15" si="1">SUM(G4:H4)</f>
        <v>44</v>
      </c>
      <c r="J4" s="9">
        <f t="shared" ref="J4:J15" si="2">SUM(F4+I4)</f>
        <v>97</v>
      </c>
      <c r="K4" s="16" t="s">
        <v>98</v>
      </c>
    </row>
    <row r="5" spans="1:11" x14ac:dyDescent="0.3">
      <c r="A5" s="5">
        <v>3</v>
      </c>
      <c r="B5" s="27"/>
      <c r="C5" s="7" t="s">
        <v>99</v>
      </c>
      <c r="D5" s="5">
        <v>16</v>
      </c>
      <c r="E5" s="5">
        <v>18</v>
      </c>
      <c r="F5" s="6">
        <f t="shared" si="0"/>
        <v>34</v>
      </c>
      <c r="G5" s="5">
        <v>1</v>
      </c>
      <c r="H5" s="5">
        <v>19</v>
      </c>
      <c r="I5" s="6">
        <f t="shared" si="1"/>
        <v>20</v>
      </c>
      <c r="J5" s="9">
        <f t="shared" si="2"/>
        <v>54</v>
      </c>
      <c r="K5" s="16" t="s">
        <v>100</v>
      </c>
    </row>
    <row r="6" spans="1:11" x14ac:dyDescent="0.3">
      <c r="A6" s="5">
        <v>4</v>
      </c>
      <c r="B6" s="27"/>
      <c r="C6" s="7" t="s">
        <v>101</v>
      </c>
      <c r="D6" s="5">
        <v>21</v>
      </c>
      <c r="E6" s="5">
        <v>19</v>
      </c>
      <c r="F6" s="6">
        <f t="shared" si="0"/>
        <v>40</v>
      </c>
      <c r="G6" s="5">
        <v>5</v>
      </c>
      <c r="H6" s="5">
        <v>30</v>
      </c>
      <c r="I6" s="6">
        <f t="shared" si="1"/>
        <v>35</v>
      </c>
      <c r="J6" s="9">
        <f t="shared" si="2"/>
        <v>75</v>
      </c>
      <c r="K6" s="16" t="s">
        <v>102</v>
      </c>
    </row>
    <row r="7" spans="1:11" x14ac:dyDescent="0.3">
      <c r="A7" s="5">
        <v>5</v>
      </c>
      <c r="B7" s="27"/>
      <c r="C7" s="7" t="s">
        <v>103</v>
      </c>
      <c r="D7" s="5">
        <v>17</v>
      </c>
      <c r="E7" s="5">
        <v>18</v>
      </c>
      <c r="F7" s="6">
        <f t="shared" si="0"/>
        <v>35</v>
      </c>
      <c r="G7" s="5">
        <v>6</v>
      </c>
      <c r="H7" s="5">
        <v>20</v>
      </c>
      <c r="I7" s="6">
        <f t="shared" si="1"/>
        <v>26</v>
      </c>
      <c r="J7" s="9">
        <f t="shared" si="2"/>
        <v>61</v>
      </c>
      <c r="K7" s="16" t="s">
        <v>104</v>
      </c>
    </row>
    <row r="8" spans="1:11" x14ac:dyDescent="0.3">
      <c r="A8" s="8">
        <v>6</v>
      </c>
      <c r="B8" s="27"/>
      <c r="C8" s="7" t="s">
        <v>105</v>
      </c>
      <c r="D8" s="5">
        <v>20</v>
      </c>
      <c r="E8" s="5">
        <v>10</v>
      </c>
      <c r="F8" s="6">
        <f t="shared" si="0"/>
        <v>30</v>
      </c>
      <c r="G8" s="8">
        <v>3</v>
      </c>
      <c r="H8" s="8">
        <v>19</v>
      </c>
      <c r="I8" s="6">
        <f t="shared" si="1"/>
        <v>22</v>
      </c>
      <c r="J8" s="9">
        <f t="shared" si="2"/>
        <v>52</v>
      </c>
      <c r="K8" s="16" t="s">
        <v>106</v>
      </c>
    </row>
    <row r="9" spans="1:11" x14ac:dyDescent="0.3">
      <c r="A9" s="5">
        <v>7</v>
      </c>
      <c r="B9" s="27"/>
      <c r="C9" s="7" t="s">
        <v>107</v>
      </c>
      <c r="D9" s="5">
        <v>3</v>
      </c>
      <c r="E9" s="5">
        <v>10</v>
      </c>
      <c r="F9" s="6">
        <f t="shared" si="0"/>
        <v>13</v>
      </c>
      <c r="G9" s="5">
        <v>2</v>
      </c>
      <c r="H9" s="4">
        <v>6</v>
      </c>
      <c r="I9" s="6">
        <f t="shared" si="1"/>
        <v>8</v>
      </c>
      <c r="J9" s="9">
        <f t="shared" si="2"/>
        <v>21</v>
      </c>
      <c r="K9" s="16" t="s">
        <v>108</v>
      </c>
    </row>
    <row r="10" spans="1:11" x14ac:dyDescent="0.3">
      <c r="A10" s="5">
        <v>8</v>
      </c>
      <c r="B10" s="27"/>
      <c r="C10" s="7" t="s">
        <v>109</v>
      </c>
      <c r="D10" s="5">
        <v>20</v>
      </c>
      <c r="E10" s="5">
        <v>24</v>
      </c>
      <c r="F10" s="6">
        <f t="shared" si="0"/>
        <v>44</v>
      </c>
      <c r="G10" s="5">
        <v>0</v>
      </c>
      <c r="H10" s="5">
        <v>16</v>
      </c>
      <c r="I10" s="6">
        <f t="shared" si="1"/>
        <v>16</v>
      </c>
      <c r="J10" s="9">
        <f t="shared" si="2"/>
        <v>60</v>
      </c>
      <c r="K10" s="16" t="s">
        <v>110</v>
      </c>
    </row>
    <row r="11" spans="1:11" x14ac:dyDescent="0.3">
      <c r="A11" s="5">
        <v>9</v>
      </c>
      <c r="B11" s="27"/>
      <c r="C11" s="7" t="s">
        <v>111</v>
      </c>
      <c r="D11" s="5">
        <v>12</v>
      </c>
      <c r="E11" s="5">
        <v>7</v>
      </c>
      <c r="F11" s="6">
        <f t="shared" si="0"/>
        <v>19</v>
      </c>
      <c r="G11" s="5">
        <v>7</v>
      </c>
      <c r="H11" s="5">
        <v>19</v>
      </c>
      <c r="I11" s="6">
        <f t="shared" si="1"/>
        <v>26</v>
      </c>
      <c r="J11" s="9">
        <f t="shared" si="2"/>
        <v>45</v>
      </c>
      <c r="K11" s="16" t="s">
        <v>112</v>
      </c>
    </row>
    <row r="12" spans="1:11" x14ac:dyDescent="0.3">
      <c r="A12" s="5">
        <v>10</v>
      </c>
      <c r="B12" s="27"/>
      <c r="C12" s="7" t="s">
        <v>113</v>
      </c>
      <c r="D12" s="5">
        <v>13</v>
      </c>
      <c r="E12" s="5">
        <v>19</v>
      </c>
      <c r="F12" s="6">
        <f t="shared" si="0"/>
        <v>32</v>
      </c>
      <c r="G12" s="5">
        <v>7</v>
      </c>
      <c r="H12" s="5">
        <v>21</v>
      </c>
      <c r="I12" s="6">
        <f t="shared" si="1"/>
        <v>28</v>
      </c>
      <c r="J12" s="9">
        <f t="shared" si="2"/>
        <v>60</v>
      </c>
      <c r="K12" s="16" t="s">
        <v>114</v>
      </c>
    </row>
    <row r="13" spans="1:11" x14ac:dyDescent="0.3">
      <c r="A13" s="5">
        <v>11</v>
      </c>
      <c r="B13" s="27"/>
      <c r="C13" s="7" t="s">
        <v>115</v>
      </c>
      <c r="D13" s="5">
        <v>35</v>
      </c>
      <c r="E13" s="5">
        <v>25</v>
      </c>
      <c r="F13" s="6">
        <f t="shared" si="0"/>
        <v>60</v>
      </c>
      <c r="G13" s="5">
        <v>8</v>
      </c>
      <c r="H13" s="5">
        <v>39</v>
      </c>
      <c r="I13" s="6">
        <f t="shared" si="1"/>
        <v>47</v>
      </c>
      <c r="J13" s="9">
        <f t="shared" si="2"/>
        <v>107</v>
      </c>
      <c r="K13" s="16" t="s">
        <v>116</v>
      </c>
    </row>
    <row r="14" spans="1:11" x14ac:dyDescent="0.3">
      <c r="A14" s="5">
        <v>12</v>
      </c>
      <c r="B14" s="27"/>
      <c r="C14" s="7" t="s">
        <v>117</v>
      </c>
      <c r="D14" s="5">
        <v>40</v>
      </c>
      <c r="E14" s="5">
        <v>41</v>
      </c>
      <c r="F14" s="6">
        <f t="shared" si="0"/>
        <v>81</v>
      </c>
      <c r="G14" s="5">
        <v>9</v>
      </c>
      <c r="H14" s="5">
        <v>40</v>
      </c>
      <c r="I14" s="6">
        <f t="shared" si="1"/>
        <v>49</v>
      </c>
      <c r="J14" s="9">
        <f t="shared" si="2"/>
        <v>130</v>
      </c>
      <c r="K14" s="16" t="s">
        <v>118</v>
      </c>
    </row>
    <row r="15" spans="1:11" x14ac:dyDescent="0.3">
      <c r="A15" s="5">
        <v>13</v>
      </c>
      <c r="B15" s="22"/>
      <c r="C15" s="7" t="s">
        <v>119</v>
      </c>
      <c r="D15" s="5">
        <v>24</v>
      </c>
      <c r="E15" s="5">
        <v>19</v>
      </c>
      <c r="F15" s="6">
        <f t="shared" si="0"/>
        <v>43</v>
      </c>
      <c r="G15" s="5">
        <v>5</v>
      </c>
      <c r="H15" s="5">
        <v>25</v>
      </c>
      <c r="I15" s="6">
        <f t="shared" si="1"/>
        <v>30</v>
      </c>
      <c r="J15" s="9">
        <f t="shared" si="2"/>
        <v>73</v>
      </c>
      <c r="K15" s="16" t="s">
        <v>120</v>
      </c>
    </row>
    <row r="16" spans="1:11" ht="17.399999999999999" customHeight="1" x14ac:dyDescent="0.3">
      <c r="A16" s="24" t="s">
        <v>10</v>
      </c>
      <c r="B16" s="25"/>
      <c r="C16" s="26"/>
      <c r="D16" s="3">
        <f t="shared" ref="D16:E16" si="3">SUM(D3:D15)</f>
        <v>263</v>
      </c>
      <c r="E16" s="3">
        <f t="shared" si="3"/>
        <v>265</v>
      </c>
      <c r="F16" s="3">
        <f>SUM(F3:F15)</f>
        <v>528</v>
      </c>
      <c r="G16" s="3">
        <f t="shared" ref="G16:J16" si="4">SUM(G3:G15)</f>
        <v>65</v>
      </c>
      <c r="H16" s="3">
        <f t="shared" si="4"/>
        <v>324</v>
      </c>
      <c r="I16" s="3">
        <f t="shared" si="4"/>
        <v>389</v>
      </c>
      <c r="J16" s="3">
        <f t="shared" si="4"/>
        <v>917</v>
      </c>
    </row>
  </sheetData>
  <mergeCells count="9">
    <mergeCell ref="K1:K2"/>
    <mergeCell ref="A1:A2"/>
    <mergeCell ref="C1:C2"/>
    <mergeCell ref="B1:B2"/>
    <mergeCell ref="B3:B15"/>
    <mergeCell ref="D1:F1"/>
    <mergeCell ref="J1:J2"/>
    <mergeCell ref="G1:I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</vt:lpstr>
      <vt:lpstr>Satuan Pendidikan</vt:lpstr>
      <vt:lpstr>Posyandu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</dc:creator>
  <cp:lastModifiedBy>RIZKI</cp:lastModifiedBy>
  <dcterms:created xsi:type="dcterms:W3CDTF">2026-08-06T05:33:27Z</dcterms:created>
  <dcterms:modified xsi:type="dcterms:W3CDTF">2026-09-10T05:13:20Z</dcterms:modified>
</cp:coreProperties>
</file>